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Chart Macro\"/>
    </mc:Choice>
  </mc:AlternateContent>
  <xr:revisionPtr revIDLastSave="0" documentId="13_ncr:1_{D65FD2B8-00C9-4781-BDD9-E9BA997F8238}" xr6:coauthVersionLast="47" xr6:coauthVersionMax="47" xr10:uidLastSave="{00000000-0000-0000-0000-000000000000}"/>
  <bookViews>
    <workbookView xWindow="28680" yWindow="-120" windowWidth="29040" windowHeight="15720" activeTab="2" xr2:uid="{6DFE503F-840F-4A73-82A5-01F041EB8F1C}"/>
  </bookViews>
  <sheets>
    <sheet name="About" sheetId="9" r:id="rId1"/>
    <sheet name="Help" sheetId="4" r:id="rId2"/>
    <sheet name="Sample Chart Definitions" sheetId="3" r:id="rId3"/>
    <sheet name="Sample Data" sheetId="1" r:id="rId4"/>
    <sheet name="_ChartTemplates_" sheetId="2" r:id="rId5"/>
    <sheet name="_SeriesTemplates_" sheetId="5" r:id="rId6"/>
    <sheet name="_PointTemplates_" sheetId="8" r:id="rId7"/>
    <sheet name="_Logs_" sheetId="7"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 i="3" l="1"/>
  <c r="S49" i="3" a="1"/>
  <c r="S49" i="3" s="1"/>
  <c r="S30" i="3"/>
  <c r="A4" i="1"/>
  <c r="A5" i="1" s="1"/>
  <c r="A6" i="1" s="1"/>
  <c r="A7" i="1" s="1"/>
  <c r="A8" i="1" s="1"/>
  <c r="A9" i="1" s="1"/>
  <c r="A10" i="1" s="1"/>
  <c r="A11" i="1" s="1"/>
  <c r="A12" i="1" s="1"/>
  <c r="A13" i="1" s="1"/>
  <c r="A14" i="1" s="1"/>
  <c r="A3" i="1"/>
  <c r="S51" i="3"/>
  <c r="S28" i="3" a="1"/>
  <c r="S28" i="3" s="1"/>
  <c r="B31" i="3" a="1"/>
  <c r="B31" i="3" s="1"/>
  <c r="B7" i="3" a="1"/>
  <c r="B7" i="3" s="1"/>
  <c r="S7" i="3" a="1"/>
  <c r="S7" i="3" s="1"/>
  <c r="B30" i="3" a="1"/>
  <c r="S48" i="3" a="1"/>
  <c r="B6" i="3" a="1"/>
  <c r="S6" i="3" a="1"/>
  <c r="S27" i="3" a="1"/>
  <c r="S48" i="3" l="1"/>
  <c r="B30" i="3"/>
  <c r="B6" i="3"/>
  <c r="S6" i="3"/>
  <c r="S2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<sst xmlns="http://schemas.openxmlformats.org/spreadsheetml/2006/main" count="1221" uniqueCount="457">
  <si>
    <t>Date</t>
  </si>
  <si>
    <t>Width</t>
  </si>
  <si>
    <t>Height</t>
  </si>
  <si>
    <t>Default</t>
  </si>
  <si>
    <t>Chart Definition</t>
  </si>
  <si>
    <t>Template</t>
  </si>
  <si>
    <t>Source</t>
  </si>
  <si>
    <t>Destination</t>
  </si>
  <si>
    <t>ID</t>
  </si>
  <si>
    <t>Title Text</t>
  </si>
  <si>
    <t>Legend</t>
  </si>
  <si>
    <t>Name</t>
  </si>
  <si>
    <t>Description</t>
  </si>
  <si>
    <t>The name of a template to use. Templates can use any of the below keys. Template values can be overridden by using the same key after the template specification</t>
  </si>
  <si>
    <t>Unique identifier for a chart. If not unique, other charts of the same ID could be deleted</t>
  </si>
  <si>
    <t>Any text</t>
  </si>
  <si>
    <r>
      <t xml:space="preserve">The source data for the chart.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</si>
  <si>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destination worksheet and cell, as and address. Recommend to use a formula such as above for Source</t>
  </si>
  <si>
    <t>A valid cell address, optionally including the worksheet (or even workbook, although that is not used)</t>
  </si>
  <si>
    <t>Width of the chart in points</t>
  </si>
  <si>
    <t>Height of the chart in points</t>
  </si>
  <si>
    <t>Positive Number</t>
  </si>
  <si>
    <t>The text for the title of the chart. If it is blank, the title is removed.</t>
  </si>
  <si>
    <t>Any valid font name</t>
  </si>
  <si>
    <t>TRUE / FALSE</t>
  </si>
  <si>
    <t>Bottom, Top, Left, Right, Left Overlay, Right Overlay, None</t>
  </si>
  <si>
    <t>Plot by</t>
  </si>
  <si>
    <t>Plot By</t>
  </si>
  <si>
    <t>Rows, Columns</t>
  </si>
  <si>
    <t>Columns</t>
  </si>
  <si>
    <t>Use either rows or columns for the chart series. That is, if the data for each series is in the rows, use Rows, otherwise use Columns.</t>
  </si>
  <si>
    <t>Single / TRUE / Double / FALSE / None (TRUE is the same as single)</t>
  </si>
  <si>
    <t>Title Text Font</t>
  </si>
  <si>
    <t>Special case of setting the below 'Title Text Font' attributes through the actual font in the next cell. Any text in the value cell is ignored, only the font settings are used.</t>
  </si>
  <si>
    <t>Legend Font</t>
  </si>
  <si>
    <t>Chart Type</t>
  </si>
  <si>
    <t>Column</t>
  </si>
  <si>
    <t>Bottom</t>
  </si>
  <si>
    <t>Line</t>
  </si>
  <si>
    <t>Type of chart, e.g. Column, Line, Bar. Includes the variant, such as stacked, stacked 100, and even 3D</t>
  </si>
  <si>
    <t>Series 1 Template</t>
  </si>
  <si>
    <t>Series n Template</t>
  </si>
  <si>
    <t>Replace n with the number of the series, e.g. Series 1 Template. The template to use for this specific series</t>
  </si>
  <si>
    <t>A series template name. Series templates are in the sheet _SeriesTemplates_, and the name of the template is in row 1</t>
  </si>
  <si>
    <r>
      <t xml:space="preserve">A chart template name. Chart templates are in the sheet </t>
    </r>
    <r>
      <rPr>
        <b/>
        <sz val="11"/>
        <color theme="1"/>
        <rFont val="Calibri"/>
        <family val="2"/>
        <scheme val="minor"/>
      </rPr>
      <t>_ChartTemplates_</t>
    </r>
    <r>
      <rPr>
        <sz val="11"/>
        <color theme="1"/>
        <rFont val="Calibri"/>
        <family val="2"/>
        <scheme val="minor"/>
      </rPr>
      <t>, and the name of the template is in row 1</t>
    </r>
  </si>
  <si>
    <t>Default 1</t>
  </si>
  <si>
    <t>Default 2</t>
  </si>
  <si>
    <t>Default 3</t>
  </si>
  <si>
    <t>Default 4</t>
  </si>
  <si>
    <t>Default 5</t>
  </si>
  <si>
    <t>Default 6</t>
  </si>
  <si>
    <t>Legend font</t>
  </si>
  <si>
    <t>Series 2 Template</t>
  </si>
  <si>
    <t>Series 3 Template</t>
  </si>
  <si>
    <t>Series Template Keys</t>
  </si>
  <si>
    <r>
      <t xml:space="preserve">A series template name. Series templates are in the sheet </t>
    </r>
    <r>
      <rPr>
        <b/>
        <sz val="11"/>
        <color theme="1"/>
        <rFont val="Calibri"/>
        <family val="2"/>
        <scheme val="minor"/>
      </rPr>
      <t>_SeriesTemplates_</t>
    </r>
    <r>
      <rPr>
        <sz val="11"/>
        <color theme="1"/>
        <rFont val="Calibri"/>
        <family val="2"/>
        <scheme val="minor"/>
      </rPr>
      <t>, and the name of the template is in row 1</t>
    </r>
  </si>
  <si>
    <t>Fill Colour</t>
  </si>
  <si>
    <t>Primary fill colour. This looks at the adjacent cell's background colour, and uses the RGB value of the colour. The text of the adjacent cell is not used</t>
  </si>
  <si>
    <t>TRUE, FALSE</t>
  </si>
  <si>
    <t>Fill Style</t>
  </si>
  <si>
    <t>Fill Secondary Colour</t>
  </si>
  <si>
    <t>Secondary fill colour, similar to Fill Colour</t>
  </si>
  <si>
    <t>Style</t>
  </si>
  <si>
    <t>Solid</t>
  </si>
  <si>
    <t>Currently only supports solid, but in future will look to include gradient and / or pattern</t>
  </si>
  <si>
    <t>Series 1 Axis</t>
  </si>
  <si>
    <t>Axis</t>
  </si>
  <si>
    <t>Primary or secondary axis</t>
  </si>
  <si>
    <t>1, Primary, Main
2, Secondary</t>
  </si>
  <si>
    <t>NOTE</t>
  </si>
  <si>
    <t>You can specify any of these values in the Chart Definition by prefixing the below with "Series n ", where n is the number of the series. For example, use "Series 1 Visible" to specify the Visible attribute for Series 1. It should be specified after the template is called</t>
  </si>
  <si>
    <t>Series n {attrib}</t>
  </si>
  <si>
    <t>Call a series attribute separately. E.g. "Series 1 Visible" to set the visible attribute of series 1 separately. It should be called after the template call, otherwise the template call attributes will override</t>
  </si>
  <si>
    <t>Line Colour</t>
  </si>
  <si>
    <t>Line Secondary Colour</t>
  </si>
  <si>
    <t>Secondary line colour, similar to line Colour</t>
  </si>
  <si>
    <t>Primary line colour. This looks at the adjacent cell's background colour, and uses the RGB value of the colour. The text of the adjacent cell is not used</t>
  </si>
  <si>
    <t>Delete</t>
  </si>
  <si>
    <t>Line Visible</t>
  </si>
  <si>
    <t>Show the series fill or not. Note that it will still be in the legend.</t>
  </si>
  <si>
    <t>True to delete the series. This removes the series from the chart entirely, and therefore removes the entry in the legend. Useful if the source data includes extras that aren't needed</t>
  </si>
  <si>
    <t>Fill Visible</t>
  </si>
  <si>
    <t>Show the series line or not. Note that it will still be in the legend.</t>
  </si>
  <si>
    <t>N/A - use the cell's background colour</t>
  </si>
  <si>
    <t>Fill Transparency</t>
  </si>
  <si>
    <t>Line Transparency</t>
  </si>
  <si>
    <t>Transparency of the line colour</t>
  </si>
  <si>
    <t>Line Width</t>
  </si>
  <si>
    <t>Width of the lines in points</t>
  </si>
  <si>
    <t>Transparency of the fill colour</t>
  </si>
  <si>
    <t>Series Gap Width</t>
  </si>
  <si>
    <t>The width of the gap between series. This applies to all series, and represents the gap between different series within the same chart. E.g. a gap width of 0 means that there will be no gap between e.g. bars or columns.</t>
  </si>
  <si>
    <t>Series Overlap</t>
  </si>
  <si>
    <t>The overlap between, e.g. bars or columns, in a chart. Use 0 so there is no overlap, a value up to -100 to ensure there is always a gap, a value up to 100 to have an overlap.</t>
  </si>
  <si>
    <t>-100 to 100</t>
  </si>
  <si>
    <t>0 to 500</t>
  </si>
  <si>
    <t>0 to 1</t>
  </si>
  <si>
    <t>Background Colour</t>
  </si>
  <si>
    <t>The background colour of the chart. This looks at the adjacent cell's background colour, and uses the RGB value of the colour. The text of the adjacent cell is not used</t>
  </si>
  <si>
    <t>Background Transparency</t>
  </si>
  <si>
    <t>Transparency of the background</t>
  </si>
  <si>
    <t>{attrib} Colour RGB</t>
  </si>
  <si>
    <t>Line 1</t>
  </si>
  <si>
    <t>Line 2</t>
  </si>
  <si>
    <t>Line 3</t>
  </si>
  <si>
    <t>For all Colour attributes, there is a Colour RGB attribute that you can specify instead. This uses an RGB value in the cell to populate the colour, rather than the background colour of the cell. The benefit of this is that the colour will always stay the same, regardless of the theme that the workbook uses. If both {attrib} Colour and {attrib} Colour RGB are specified, whichever is specified last will override.
To get an RGB value of a cell's background colour, use the provided helper function GetRGB. E.g. =GetRGB(cell("address", A1))</t>
  </si>
  <si>
    <t>Border Colour</t>
  </si>
  <si>
    <t>Border Width</t>
  </si>
  <si>
    <t>Border Transparency</t>
  </si>
  <si>
    <t>The background colour of the chart's border. This looks at the adjacent cell's background colour, and uses the RGB value of the colour. The text of the adjacent cell is not used</t>
  </si>
  <si>
    <t>Width of the border in points</t>
  </si>
  <si>
    <t>Positive number</t>
  </si>
  <si>
    <t>Transparency of the border</t>
  </si>
  <si>
    <t>Background Visible</t>
  </si>
  <si>
    <t>Set the background to be visible or not</t>
  </si>
  <si>
    <t>Border Visible</t>
  </si>
  <si>
    <t>Set the border to be visible or not</t>
  </si>
  <si>
    <t>Sample text</t>
  </si>
  <si>
    <t>X Label Font</t>
  </si>
  <si>
    <t>Y1 Label Font</t>
  </si>
  <si>
    <t>Y2 Label Font</t>
  </si>
  <si>
    <t>{item} Font</t>
  </si>
  <si>
    <t>{item} Font Name</t>
  </si>
  <si>
    <t>{item} Font Size</t>
  </si>
  <si>
    <t>{item} Font Bold</t>
  </si>
  <si>
    <t>{item} Font Italic</t>
  </si>
  <si>
    <t>{item} Font Underline</t>
  </si>
  <si>
    <t>{item} Font Colour</t>
  </si>
  <si>
    <t>The font used for the text.</t>
  </si>
  <si>
    <t>The size of the font used for the text.</t>
  </si>
  <si>
    <t>Text bold</t>
  </si>
  <si>
    <t>Text italic</t>
  </si>
  <si>
    <t>Text underline. There is both single and double underline, although some {items} only support single underline.</t>
  </si>
  <si>
    <t>Text font colour. This looks at the adjacent cell's background colour, and uses the RGB value of the colour. The text of the adjacent cell is not used</t>
  </si>
  <si>
    <t>Special Template Keys</t>
  </si>
  <si>
    <t>Integer RGB value</t>
  </si>
  <si>
    <t>Special case of setting the below '{item} Font' attributes through the actual font in the next cell. Any text in the value cell is ignored, only the font settings are used. The below can be specified manually to override, but they must occur after the {item} Font entry.</t>
  </si>
  <si>
    <t>Type</t>
  </si>
  <si>
    <t>Message</t>
  </si>
  <si>
    <t>Checking for key Chart Type</t>
  </si>
  <si>
    <t>Checking for key plot by</t>
  </si>
  <si>
    <t>Checking for key width</t>
  </si>
  <si>
    <t>Checking for key height</t>
  </si>
  <si>
    <t>Checking for key background colour</t>
  </si>
  <si>
    <t>Checking for key background transparency</t>
  </si>
  <si>
    <t>Checking for key background visible</t>
  </si>
  <si>
    <t>Checking for key border colour</t>
  </si>
  <si>
    <t>Checking for key border width</t>
  </si>
  <si>
    <t>Checking for key border transparency</t>
  </si>
  <si>
    <t>Checking for key border visible</t>
  </si>
  <si>
    <t>Checking for key title text</t>
  </si>
  <si>
    <t>Setting font2 attributes for key prefix title text</t>
  </si>
  <si>
    <t>Checking for key title text font name</t>
  </si>
  <si>
    <t>Checking for key title text font size</t>
  </si>
  <si>
    <t>Checking for key title text font bold</t>
  </si>
  <si>
    <t>Checking for key title text font italic</t>
  </si>
  <si>
    <t>Checking for key title text font underline</t>
  </si>
  <si>
    <t>Checking for key title text font colour</t>
  </si>
  <si>
    <t>Checking for key legend</t>
  </si>
  <si>
    <t>Setting font2 attributes for key prefix legend</t>
  </si>
  <si>
    <t>Checking for key legend font name</t>
  </si>
  <si>
    <t>Checking for key legend font size</t>
  </si>
  <si>
    <t>Checking for key legend font bold</t>
  </si>
  <si>
    <t>Checking for key legend font italic</t>
  </si>
  <si>
    <t>Checking for key legend font underline</t>
  </si>
  <si>
    <t>Checking for key legend font colour</t>
  </si>
  <si>
    <t>Checking for key Series Gap Width</t>
  </si>
  <si>
    <t>Checking for key Series Overlap</t>
  </si>
  <si>
    <t>Checking for key series 1 Chart Type</t>
  </si>
  <si>
    <t>Checking for key series 1 axis</t>
  </si>
  <si>
    <t>Checking for key series 1 Style</t>
  </si>
  <si>
    <t>Checking for key series 1 Fill Colour</t>
  </si>
  <si>
    <t>Checking for key series 1 Line Colour</t>
  </si>
  <si>
    <t>Checking for key series 1 Fill Secondary Colour</t>
  </si>
  <si>
    <t>Checking for key series 1 Line Secondary Colour</t>
  </si>
  <si>
    <t>Checking for key series 1 Fill Transparency</t>
  </si>
  <si>
    <t>Checking for key series 1 Line Transparency</t>
  </si>
  <si>
    <t>Checking for key series 1 Line Width</t>
  </si>
  <si>
    <t>Checking for key series 1 Fill Visible</t>
  </si>
  <si>
    <t>Checking for key series 1 Line Visible</t>
  </si>
  <si>
    <t>Checking for key series 1 Delete</t>
  </si>
  <si>
    <t>Evaluating key Template</t>
  </si>
  <si>
    <t>Evaluating key Width</t>
  </si>
  <si>
    <t>Evaluating key Height</t>
  </si>
  <si>
    <t>Evaluating key Background Colour</t>
  </si>
  <si>
    <t>Evaluating key Background Transparency</t>
  </si>
  <si>
    <t>Evaluating key Border Colour</t>
  </si>
  <si>
    <t>Evaluating key Border Width</t>
  </si>
  <si>
    <t>Evaluating key Border Transparency</t>
  </si>
  <si>
    <t>Evaluating key ID</t>
  </si>
  <si>
    <t>Evaluating key Source</t>
  </si>
  <si>
    <t>Evaluating key Destination</t>
  </si>
  <si>
    <t>Evaluating key Chart Type</t>
  </si>
  <si>
    <t>Evaluating key Title Text</t>
  </si>
  <si>
    <t>Evaluating key Title Text Font</t>
  </si>
  <si>
    <t>Evaluating key Legend</t>
  </si>
  <si>
    <t>Evaluating key Legend Font</t>
  </si>
  <si>
    <t>Evaluating key Plot by</t>
  </si>
  <si>
    <t>Creating new chart</t>
  </si>
  <si>
    <t>Found string value Columns</t>
  </si>
  <si>
    <t>Found numeric value 15396072</t>
  </si>
  <si>
    <t>Found numeric value 0</t>
  </si>
  <si>
    <t>Found numeric value 8421504</t>
  </si>
  <si>
    <t>Found numeric value 2</t>
  </si>
  <si>
    <t>Found string value Calibri</t>
  </si>
  <si>
    <t>Found boolean value True</t>
  </si>
  <si>
    <t>Found string value None</t>
  </si>
  <si>
    <t>Found string value Bottom</t>
  </si>
  <si>
    <t>Found string value Arial</t>
  </si>
  <si>
    <t>Found numeric value 8</t>
  </si>
  <si>
    <t>Found boolean value False</t>
  </si>
  <si>
    <t>Found numeric value 10498160</t>
  </si>
  <si>
    <t>Finished creating chart</t>
  </si>
  <si>
    <t>N/A - use the cell's font's formatting</t>
  </si>
  <si>
    <t>N/A - attributes of the cell's font are used</t>
  </si>
  <si>
    <t>{X | Y1 | Y2} Min</t>
  </si>
  <si>
    <t>{X | Y1 | Y2} Max</t>
  </si>
  <si>
    <t>{X | Y1 | Y2} Major Unit</t>
  </si>
  <si>
    <t>{X | Y1 | Y2} Minor Unit</t>
  </si>
  <si>
    <t>Automatic / Custom / Maximum / Minimum</t>
  </si>
  <si>
    <t>The minimum value for the axis</t>
  </si>
  <si>
    <t>The maximum value for the axis</t>
  </si>
  <si>
    <t>The major unit for the axis</t>
  </si>
  <si>
    <t>The minor unit for the axis</t>
  </si>
  <si>
    <t>{X | Y1 | Y2} Label Font</t>
  </si>
  <si>
    <t>Specify the label font on the axis through the actual font in the value cell. Any text in the value cell is ignored, only the font settings are used.</t>
  </si>
  <si>
    <t>Any number</t>
  </si>
  <si>
    <t>Checking for key X min</t>
  </si>
  <si>
    <t>Checking for key X max</t>
  </si>
  <si>
    <t>Checking for key X minor unit</t>
  </si>
  <si>
    <t>Checking for key X major unit</t>
  </si>
  <si>
    <t>Checking for key Y1 min</t>
  </si>
  <si>
    <t>Checking for key Y1 max</t>
  </si>
  <si>
    <t>Checking for key Y1 minor unit</t>
  </si>
  <si>
    <t>Checking for key Y1 major unit</t>
  </si>
  <si>
    <t>Checking for key Y1 x crosses</t>
  </si>
  <si>
    <t>Checking for key Y1 x crosses at</t>
  </si>
  <si>
    <t>Checking for key Y2 min</t>
  </si>
  <si>
    <t>Checking for key Y2 max</t>
  </si>
  <si>
    <t>Checking for key Y2 minor unit</t>
  </si>
  <si>
    <t>Checking for key Y2 major unit</t>
  </si>
  <si>
    <t>Checking for key Y2 x crosses</t>
  </si>
  <si>
    <t>Checking for key Y2 x crosses at</t>
  </si>
  <si>
    <t>The type of value at which the x-axis crosses the primary / secondary y-axis. (Note depending on chart type, this may appear to have no impact especially on the secondary y-axis)</t>
  </si>
  <si>
    <t>The value at which the x-axis crosses the primary / secondary y-axis. (Note depending on chart type, this may appear to have no impact especially on the secondary y-axis)</t>
  </si>
  <si>
    <t>{Y1 | Y2} X Crosses</t>
  </si>
  <si>
    <t>{Y1 | Y2} X Crosses At</t>
  </si>
  <si>
    <t>Food</t>
  </si>
  <si>
    <t>Likes</t>
  </si>
  <si>
    <t>Fruit</t>
  </si>
  <si>
    <t>Pie</t>
  </si>
  <si>
    <t>Vegetables</t>
  </si>
  <si>
    <t>Sweets</t>
  </si>
  <si>
    <t>Steak</t>
  </si>
  <si>
    <t>Example</t>
  </si>
  <si>
    <t>Found numeric value 350</t>
  </si>
  <si>
    <t>Valid Values</t>
  </si>
  <si>
    <t>Point Template Keys</t>
  </si>
  <si>
    <t>Point</t>
  </si>
  <si>
    <t>Point Template</t>
  </si>
  <si>
    <t>The template to use for points</t>
  </si>
  <si>
    <t>A point template name. Point templates are in the sheet _PointTemplates_, and the name of the template is in row 1</t>
  </si>
  <si>
    <t>Series 1 Point Template</t>
  </si>
  <si>
    <t>Checking for key series 1 Point 1 Fill Colour</t>
  </si>
  <si>
    <t>Checking for key series 1 Point 1 Line Colour</t>
  </si>
  <si>
    <t>Checking for key series 1 Point 2 Fill Colour</t>
  </si>
  <si>
    <t>Checking for key series 1 Point 2 Line Colour</t>
  </si>
  <si>
    <t>Checking for key series 1 Point 3 Fill Colour</t>
  </si>
  <si>
    <t>Checking for key series 1 Point 3 Line Colour</t>
  </si>
  <si>
    <t>Checking for key series 1 Point 4 Fill Colour</t>
  </si>
  <si>
    <t>Checking for key series 1 Point 4 Line Colour</t>
  </si>
  <si>
    <t>Checking for key series 1 Point 5 Fill Colour</t>
  </si>
  <si>
    <t>Checking for key series 1 Point 5 Line Colour</t>
  </si>
  <si>
    <t>Checking for key series 1 Point 1 Fill transparency</t>
  </si>
  <si>
    <t>Checking for key series 1 Point 1 Line transparency</t>
  </si>
  <si>
    <t>Checking for key series 1 Point 1 Line width</t>
  </si>
  <si>
    <t>Checking for key series 1 Point 1 Fill visible</t>
  </si>
  <si>
    <t>Checking for key series 1 Point 1 Line visible</t>
  </si>
  <si>
    <t>Checking for key series 1 Point 2 Fill transparency</t>
  </si>
  <si>
    <t>Checking for key series 1 Point 2 Line transparency</t>
  </si>
  <si>
    <t>Checking for key series 1 Point 2 Line width</t>
  </si>
  <si>
    <t>Checking for key series 1 Point 2 Fill visible</t>
  </si>
  <si>
    <t>Checking for key series 1 Point 2 Line visible</t>
  </si>
  <si>
    <t>Checking for key series 1 Point 3 Fill transparency</t>
  </si>
  <si>
    <t>Checking for key series 1 Point 3 Line transparency</t>
  </si>
  <si>
    <t>Checking for key series 1 Point 3 Line width</t>
  </si>
  <si>
    <t>Checking for key series 1 Point 3 Fill visible</t>
  </si>
  <si>
    <t>Checking for key series 1 Point 3 Line visible</t>
  </si>
  <si>
    <t>Checking for key series 1 Point 4 Fill transparency</t>
  </si>
  <si>
    <t>Checking for key series 1 Point 4 Line transparency</t>
  </si>
  <si>
    <t>Checking for key series 1 Point 4 Line width</t>
  </si>
  <si>
    <t>Checking for key series 1 Point 4 Fill visible</t>
  </si>
  <si>
    <t>Checking for key series 1 Point 4 Line visible</t>
  </si>
  <si>
    <t>Checking for key series 1 Point 5 Fill visible</t>
  </si>
  <si>
    <t>Checking for key series 1 Point 5 Line visible</t>
  </si>
  <si>
    <t>Checking for key series 1 Point 5 Fill transparency</t>
  </si>
  <si>
    <t>Checking for key series 1 Point 5 Line transparency</t>
  </si>
  <si>
    <t>Checking for key series 1 Point 5 Line width</t>
  </si>
  <si>
    <t>Cheese</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</si>
  <si>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</si>
  <si>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</si>
  <si>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</si>
  <si>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</si>
  <si>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</si>
  <si>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</si>
  <si>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</si>
  <si>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Checking for key series 1 Point -1 Fill visible</t>
  </si>
  <si>
    <t>Checking for key series 1 Point -1 Line visible</t>
  </si>
  <si>
    <t>Checking for key series 1 Point -1 Fill Colour</t>
  </si>
  <si>
    <t>Checking for key series 1 Point -1 Line Colour</t>
  </si>
  <si>
    <t>Checking for key series 1 Point -1 Fill transparency</t>
  </si>
  <si>
    <t>Checking for key series 1 Point -1 Line transparency</t>
  </si>
  <si>
    <t>Checking for key series 1 Point -1 Line width</t>
  </si>
  <si>
    <t>Checking for key series 1 Point -2 Fill visible</t>
  </si>
  <si>
    <t>Checking for key series 1 Point -2 Line visible</t>
  </si>
  <si>
    <t>Checking for key series 1 Point -2 Fill Colour</t>
  </si>
  <si>
    <t>Checking for key series 1 Point -2 Line Colour</t>
  </si>
  <si>
    <t>Checking for key series 1 Point -2 Fill transparency</t>
  </si>
  <si>
    <t>Checking for key series 1 Point -2 Line transparency</t>
  </si>
  <si>
    <t>Checking for key series 1 Point -2 Line width</t>
  </si>
  <si>
    <t>Checking for key series 1 Point -3 Fill visible</t>
  </si>
  <si>
    <t>Checking for key series 1 Point -3 Line visible</t>
  </si>
  <si>
    <t>Checking for key series 1 Point -3 Fill Colour</t>
  </si>
  <si>
    <t>Checking for key series 1 Point -3 Line Colour</t>
  </si>
  <si>
    <t>Checking for key series 1 Point -3 Fill transparency</t>
  </si>
  <si>
    <t>Checking for key series 1 Point -3 Line transparency</t>
  </si>
  <si>
    <t>Checking for key series 1 Point -3 Line width</t>
  </si>
  <si>
    <t>Checking for key series 1 Point -4 Fill visible</t>
  </si>
  <si>
    <t>Checking for key series 1 Point -4 Line visible</t>
  </si>
  <si>
    <t>Checking for key series 1 Point -4 Fill Colour</t>
  </si>
  <si>
    <t>Checking for key series 1 Point -4 Line Colour</t>
  </si>
  <si>
    <t>Checking for key series 1 Point -4 Fill transparency</t>
  </si>
  <si>
    <t>Checking for key series 1 Point -4 Line transparency</t>
  </si>
  <si>
    <t>Checking for key series 1 Point -4 Line width</t>
  </si>
  <si>
    <t>Checking for key series 1 Point -5 Fill visible</t>
  </si>
  <si>
    <t>Checking for key series 1 Point -5 Line visible</t>
  </si>
  <si>
    <t>Checking for key series 1 Point -5 Fill Colour</t>
  </si>
  <si>
    <t>Checking for key series 1 Point -5 Line Colour</t>
  </si>
  <si>
    <t>Checking for key series 1 Point -5 Fill transparency</t>
  </si>
  <si>
    <t>Checking for key series 1 Point -5 Line transparency</t>
  </si>
  <si>
    <t>Checking for key series 1 Point -5 Line width</t>
  </si>
  <si>
    <t>Checking for key series 1 Point -6 Fill visible</t>
  </si>
  <si>
    <t>Checking for key series 1 Point -6 Line visible</t>
  </si>
  <si>
    <t>Checking for key series 1 Point -6 Fill Colour</t>
  </si>
  <si>
    <t>Checking for key series 1 Point -6 Line Colour</t>
  </si>
  <si>
    <t>Checking for key series 1 Point -6 Fill transparency</t>
  </si>
  <si>
    <t>Checking for key series 1 Point -6 Line transparency</t>
  </si>
  <si>
    <t>Checking for key series 1 Point -6 Line width</t>
  </si>
  <si>
    <t>Last Red</t>
  </si>
  <si>
    <t>First Last Red</t>
  </si>
  <si>
    <t>Series 2 Point Template</t>
  </si>
  <si>
    <t>Overrides template</t>
  </si>
  <si>
    <t>3D Pie</t>
  </si>
  <si>
    <t>Column 1</t>
  </si>
  <si>
    <t>Column 2</t>
  </si>
  <si>
    <t>Pie Chart 1</t>
  </si>
  <si>
    <t>Pie Chart 2</t>
  </si>
  <si>
    <t>Pie Explosion</t>
  </si>
  <si>
    <t>The % of pie explosion (i.e. separating the slices of the pie chart). Only applies to pie charts.</t>
  </si>
  <si>
    <t>0 to 400</t>
  </si>
  <si>
    <t>Pie First Slice Angle</t>
  </si>
  <si>
    <t>The angle the first slice of the pie chart starts at.</t>
  </si>
  <si>
    <t>0 to 360</t>
  </si>
  <si>
    <t>Checking for key Pie explosion</t>
  </si>
  <si>
    <t>Checking for key Pie first slice angle</t>
  </si>
  <si>
    <t>Doughnut</t>
  </si>
  <si>
    <t>Column and Line Chart</t>
  </si>
  <si>
    <t>Column and Line Chart with Additional formatting</t>
  </si>
  <si>
    <t>Data Labels</t>
  </si>
  <si>
    <t>Series 1 Data Labels</t>
  </si>
  <si>
    <t>Checking for key series 1 Data Labels</t>
  </si>
  <si>
    <t>Callout</t>
  </si>
  <si>
    <t>Callout Percent</t>
  </si>
  <si>
    <t>Callout %</t>
  </si>
  <si>
    <t>None, Center, Inside Base, Inside End, Left, Right, Outside End, Callout, Callout Percent | Callout %</t>
  </si>
  <si>
    <t>Display data labels. Not all options are available for all chart types.</t>
  </si>
  <si>
    <t>Chart ID / Source</t>
  </si>
  <si>
    <t>Average Steps</t>
  </si>
  <si>
    <t>Average RHR</t>
  </si>
  <si>
    <t>Average Zone Mins</t>
  </si>
  <si>
    <t>Series 3 Axis</t>
  </si>
  <si>
    <t>Line 4</t>
  </si>
  <si>
    <t>Default Pie</t>
  </si>
  <si>
    <t>The position of the legend. Leave blank for no legend or use None.</t>
  </si>
  <si>
    <t>None</t>
  </si>
  <si>
    <t>Excel Chart Creation Macro Workbook</t>
  </si>
  <si>
    <t>Created by Kelsey Petterson</t>
  </si>
  <si>
    <t>My LinkedIn profile - https://www.linkedin.com/in/kelsey-petterson-14103695/</t>
  </si>
  <si>
    <t>This workbook contains VBA code that simplifies the creation of Charts. Rather than creating charts directly, adjusting the formatting, and then copy-pasting to represent other data ranges (which introduces other issues), you can describe how a chart should look, where it should get its data from, and where it should be placed.</t>
  </si>
  <si>
    <t>Chart Definitions are denoted by the text "Chart Definition" (without the quotes) with a series of (mostly) key-value pairs underneath. Refer to the Help sheet for a list of allowed Keys and Values.</t>
  </si>
  <si>
    <t>To reduce the number of key-value pairs required for each chart, you can use templates. For example, a Chart Template (specified via the key "Template"), can be used to set a number of common attributes, such as size, background colour, default series attributes.</t>
  </si>
  <si>
    <t>Each chart should have at least the following; Source, Destination, ID. Refer to Help for more details.</t>
  </si>
  <si>
    <t>Further to chart templates, there are also Series Templates and Point Templates. Series Templates allow you to describe the look of a series (e.g. a single set of columns on a column chart). Point Templates allow you to specify the look of individual points (e.g a single column in a series) on a chart.</t>
  </si>
  <si>
    <t>Point templates work a little different from the other templates. Rather than being single key-value pairs on a row, the keys are all on one row, and the values are specified vertically. Each template, under the template name, should start with a special key "Point" (it's not actually checked, but is assumed), which refers to the point number. To the right of "Point" are the required keys from the listing below. The "Point" key can have numbers below, which refer to the point number (i.e. 1 = first, 2 = second, etc). You can also use negative numbers, e.g. -1 refers to the last point in a series. Positive point numbers are processed first, then negative point numbers last, so negative point numbers will always override positive point numbers if they correspond to the same point.</t>
  </si>
  <si>
    <t>Some keys relating to formatting look at the actual formatting on the cell. For example a number of colour attributes look at the cell's background colour. Another example is a number of 'font' attributes, which look at the formatting of the font in the cell (and ignore the actual text - just put in some text so you can see the formatting) including bold/italic/underline, font name and size, font colour.</t>
  </si>
  <si>
    <t>Note that if an attribute is specified more than once (either implicitly or explicitly), the last specification wins.</t>
  </si>
  <si>
    <t>Refer to the examples in the sheet "Sample Chart Definitions".</t>
  </si>
  <si>
    <t>The key macros to call are CreateFromSelected and CreateFromWorksheet. The first requires the selected cell to be on a chart definition, and creates just that chart. The second will search the current worksheet for chart definitions and create each chart.</t>
  </si>
  <si>
    <t>Chart Definition / Template Keys</t>
  </si>
  <si>
    <t>Creating chart from definition on worksheet Sample Chart Definitions, cell $R$3</t>
  </si>
  <si>
    <t>Chart Definition Source: $R$3</t>
  </si>
  <si>
    <t>Looking for Chart Template: Default Pie</t>
  </si>
  <si>
    <t>Found Default Pie at cell $D$1</t>
  </si>
  <si>
    <t>Processing font for key prefix Title Text Font, cell $E$9</t>
  </si>
  <si>
    <t>Processing font for key prefix Legend Font, cell $E$11</t>
  </si>
  <si>
    <t>Evaluating key Series 1 Point Template</t>
  </si>
  <si>
    <t>Processing point template for key: Series 1 Point Template</t>
  </si>
  <si>
    <t>Looking for Point Template: Default 1</t>
  </si>
  <si>
    <t>Found point template Default 1 at cell $A$1</t>
  </si>
  <si>
    <t>Evaluating key Series 1 Point 1 Fill Colour</t>
  </si>
  <si>
    <t>Evaluating key Series 1 Point 1 Line Colour</t>
  </si>
  <si>
    <t>Evaluating key Series 1 Point 1 Fill Transparency</t>
  </si>
  <si>
    <t>Evaluating key Series 1 Point 1 Line Width</t>
  </si>
  <si>
    <t>Evaluating key Series 1 Point 2 Fill Colour</t>
  </si>
  <si>
    <t>Evaluating key Series 1 Point 2 Line Colour</t>
  </si>
  <si>
    <t>Evaluating key Series 1 Point 2 Fill Transparency</t>
  </si>
  <si>
    <t>Evaluating key Series 1 Point 2 Line Width</t>
  </si>
  <si>
    <t>Evaluating key Series 1 Point 3 Fill Colour</t>
  </si>
  <si>
    <t>Evaluating key Series 1 Point 3 Line Colour</t>
  </si>
  <si>
    <t>Evaluating key Series 1 Point 3 Fill Transparency</t>
  </si>
  <si>
    <t>Evaluating key Series 1 Point 3 Line Width</t>
  </si>
  <si>
    <t>Evaluating key Series 1 Point 4 Fill Colour</t>
  </si>
  <si>
    <t>Evaluating key Series 1 Point 4 Line Colour</t>
  </si>
  <si>
    <t>Evaluating key Series 1 Point 4 Fill Transparency</t>
  </si>
  <si>
    <t>Evaluating key Series 1 Point 4 Line Width</t>
  </si>
  <si>
    <t>Evaluating key Series 1 Point 5 Fill Colour</t>
  </si>
  <si>
    <t>Evaluating key Series 1 Point 5 Line Colour</t>
  </si>
  <si>
    <t>Evaluating key Series 1 Point 5 Fill Transparency</t>
  </si>
  <si>
    <t>Evaluating key Series 1 Point 5 Line Width</t>
  </si>
  <si>
    <t>Evaluating key Series 1 Point 6 Fill Colour</t>
  </si>
  <si>
    <t>Evaluating key Series 1 Point 6 Line Colour</t>
  </si>
  <si>
    <t>Evaluating key Series 1 Point 6 Fill Transparency</t>
  </si>
  <si>
    <t>Evaluating key Series 1 Point 6 Line Width</t>
  </si>
  <si>
    <t>Evaluating key Series 1 Data Labels</t>
  </si>
  <si>
    <t>Parsing the source string '[Excel Chart Macro.xlsm]Sample Data'!$G$1</t>
  </si>
  <si>
    <t>Final source string 'Sample Data'!$G$1:$H$7</t>
  </si>
  <si>
    <t>Parsing destination string $V$3</t>
  </si>
  <si>
    <t>Final destination cell $V$3</t>
  </si>
  <si>
    <t>Deleting any existing charts with ID Pie Chart 1 on worksheet Sample Chart Definitions</t>
  </si>
  <si>
    <t>Found string value Pie</t>
  </si>
  <si>
    <t>Getting chart type for Pie</t>
  </si>
  <si>
    <t>Found numeric value 300</t>
  </si>
  <si>
    <t>Found numeric value 14</t>
  </si>
  <si>
    <t>Found string value Callout Percent</t>
  </si>
  <si>
    <t>Found numeric value 14395790</t>
  </si>
  <si>
    <t>Found numeric value 0.5</t>
  </si>
  <si>
    <t>Found numeric value 8696052</t>
  </si>
  <si>
    <t>Found numeric value 13224393</t>
  </si>
  <si>
    <t>Found numeric value 6740479</t>
  </si>
  <si>
    <t>Found numeric value 15123099</t>
  </si>
  <si>
    <t>Found numeric value 9359529</t>
  </si>
  <si>
    <t>ERROR</t>
  </si>
  <si>
    <t>Unexpected error whilst creating chart: This object is no longer valid. Continuing...</t>
  </si>
  <si>
    <t>Unexpected error whilst creating chart: Method 'Axes' of object '_Chart' failed Continuing...</t>
  </si>
  <si>
    <t>Finished creating chart from definition on worksheet Sample Chart Definitions, cell $R$3</t>
  </si>
  <si>
    <t>Found string value Pie Chart with Point Template Default 1</t>
  </si>
  <si>
    <t>Bar, Bar Stacked, Bar Stacked 100, 3D Bar, 3D Bar Stacked, 3D Bar Stacked 100
Column, Column Stacked, Column Stacked 100, 3D Column, 3D Column Stacked, 3D Column Stacked 100
Line, Line Stacked, Line Stacked 100, 3D Line
Pie, 3D Pie, Doughnut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</si>
</sst>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b/>
      <i/>
      <sz val="16"/>
      <color rgb="FF00B050"/>
      <name val="Calibri"/>
      <family val="2"/>
      <scheme val="minor"/>
    </font>
    <font>
      <b/>
      <sz val="8"/>
      <color rgb="FF7030A0"/>
      <name val="Arial"/>
      <family val="2"/>
    </font>
    <font>
      <sz val="16"/>
      <color theme="4" tint="-0.249977111117893"/>
      <name val="Calibri"/>
      <family val="2"/>
      <scheme val="minor"/>
    </font>
    <font>
      <b/>
      <sz val="11"/>
      <color rgb="FFC00000"/>
      <name val="Calibri"/>
      <family val="2"/>
      <scheme val="minor"/>
    </font>
    <font>
      <sz val="18"/>
      <color theme="3"/>
      <name val="Calibri Light"/>
      <family val="2"/>
      <scheme val="major"/>
    </font>
    <font>
      <b/>
      <i/>
      <sz val="14"/>
      <color rgb="FF7030A0"/>
      <name val="Calibri"/>
      <family val="2"/>
      <scheme val="minor"/>
    </font>
    <font>
      <sz val="8"/>
      <color theme="9" tint="-0.499984740745262"/>
      <name val="Arial"/>
      <family val="2"/>
    </font>
    <font>
      <u/>
      <sz val="11"/>
      <color theme="10"/>
      <name val="Calibri"/>
      <family val="2"/>
      <scheme val="minor"/>
    </font>
    <font>
      <b/>
      <sz val="11"/>
      <color rgb="FF0000FF"/>
      <name val="Calibri"/>
      <family val="2"/>
    </font>
    <font>
      <b/>
      <sz val="11"/>
      <color indexed="10"/>
      <name val="Calibri"/>
      <family val="2"/>
      <scheme val="minor"/>
    </font>
  </fonts>
  <fills count="26">
    <fill>
      <patternFill patternType="none"/>
    </fill>
    <fill>
      <patternFill patternType="gray125"/>
    </fill>
    <fill>
      <patternFill patternType="solid">
        <fgColor theme="7" tint="-0.499984740745262"/>
        <bgColor indexed="64"/>
      </patternFill>
    </fill>
    <fill>
      <patternFill patternType="solid">
        <fgColor theme="0" tint="-0.499984740745262"/>
        <bgColor indexed="64"/>
      </patternFill>
    </fill>
    <fill>
      <patternFill patternType="solid">
        <fgColor rgb="FFE8ECEA"/>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249977111117893"/>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3">
    <xf numFmtId="0" fontId="0" fillId="0" borderId="0"/>
    <xf numFmtId="0" fontId="6" fillId="0" borderId="0" applyNumberFormat="0" applyFill="0" applyBorder="0" applyAlignment="0" applyProtection="0"/>
    <xf numFmtId="0" fontId="9" fillId="0" borderId="0" applyNumberFormat="0" applyFill="0" applyBorder="0" applyAlignment="0" applyProtection="0"/>
  </cellStyleXfs>
  <cellXfs count="42">
    <xf numFmtId="0" fontId="0" fillId="0" borderId="0" xfId="0"/>
    <xf numFmtId="14" fontId="0" fillId="0" borderId="0" xfId="0" applyNumberFormat="1"/>
    <xf numFmtId="20" fontId="0" fillId="0" borderId="0" xfId="0" applyNumberFormat="1"/>
    <xf numFmtId="0" fontId="0" fillId="0" borderId="0" xfId="0" applyAlignment="1">
      <alignment wrapText="1"/>
    </xf>
    <xf numFmtId="0" fontId="2" fillId="0" borderId="0" xfId="0" applyFont="1"/>
    <xf numFmtId="0" fontId="0" fillId="2" borderId="0" xfId="0" applyFill="1"/>
    <xf numFmtId="0" fontId="3" fillId="0" borderId="0" xfId="0" applyFont="1"/>
    <xf numFmtId="0" fontId="4" fillId="0" borderId="0" xfId="0" applyFont="1" applyAlignment="1">
      <alignment wrapText="1"/>
    </xf>
    <xf numFmtId="0" fontId="4" fillId="0" borderId="0" xfId="0" applyFont="1"/>
    <xf numFmtId="0" fontId="0" fillId="3" borderId="0" xfId="0" applyFill="1"/>
    <xf numFmtId="0" fontId="0" fillId="0" borderId="0" xfId="0" quotePrefix="1" applyAlignment="1">
      <alignment wrapText="1"/>
    </xf>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0" borderId="1" xfId="0" applyBorder="1" applyAlignment="1">
      <alignment wrapText="1"/>
    </xf>
    <xf numFmtId="0" fontId="0" fillId="0" borderId="2" xfId="0" applyBorder="1" applyAlignment="1">
      <alignment wrapText="1"/>
    </xf>
    <xf numFmtId="0" fontId="5" fillId="0" borderId="0" xfId="0" applyFont="1" applyAlignment="1">
      <alignment wrapText="1"/>
    </xf>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7" fillId="0" borderId="0" xfId="0" applyFont="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17" fontId="0" fillId="0" borderId="0" xfId="0" applyNumberFormat="1"/>
    <xf numFmtId="0" fontId="8" fillId="0" borderId="0" xfId="0" applyFont="1"/>
    <xf numFmtId="0" fontId="6" fillId="0" borderId="0" xfId="1" applyAlignment="1">
      <alignment wrapText="1"/>
    </xf>
    <xf numFmtId="0" fontId="9" fillId="0" borderId="0" xfId="2" applyAlignment="1">
      <alignment wrapText="1"/>
    </xf>
    <xf numFmtId="0" fontId="11" fillId="0" borderId="0" xfId="0" applyFont="1"/>
  </cellXfs>
  <cellStyles count="3">
    <cellStyle name="Hyperlink" xfId="2" builtinId="8"/>
    <cellStyle name="Normal" xfId="0" builtinId="0"/>
    <cellStyle name="Title" xfId="1" builtinId="15"/>
  </cellStyles>
  <dxfs count="22">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none">
          <fgColor theme="4" tint="0.79998168889431442"/>
          <bgColor auto="1"/>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diagonalUp="0" diagonalDown="0">
        <left/>
        <right/>
        <top/>
        <bottom style="thin">
          <color theme="4" tint="0.39997558519241921"/>
        </bottom>
      </border>
    </dxf>
    <dxf>
      <fill>
        <patternFill patternType="none">
          <bgColor auto="1"/>
        </patternFill>
      </fill>
    </dxf>
    <dxf>
      <fill>
        <patternFill patternType="none">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E8EC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r>
              <a:rPr lang="en-US" sz="1600" b="1" i="1" u="none">
                <a:solidFill>
                  <a:srgbClr val="00B050"/>
                </a:solidFill>
                <a:latin typeface="Calibri" panose="020F0502020204030204" pitchFamily="34" charset="0"/>
              </a:rPr>
              <a:t>Column and Line Chart</a:t>
            </a:r>
          </a:p>
        </c:rich>
      </c:tx>
      <c:overlay val="0"/>
      <c:spPr>
        <a:noFill/>
        <a:ln>
          <a:noFill/>
        </a:ln>
        <a:effectLst/>
      </c:spPr>
      <c:txPr>
        <a:bodyPr rot="0" spcFirstLastPara="1" vertOverflow="ellipsis" vert="horz" wrap="square" anchor="ctr" anchorCtr="1"/>
        <a:lstStyle/>
        <a:p>
          <a:pPr>
            <a:defRPr sz="1600" b="1" i="1" u="none" strike="noStrike" kern="1200" spc="0" baseline="0">
              <a:solidFill>
                <a:srgbClr val="00B05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Average Steps</c:v>
                </c:pt>
              </c:strCache>
            </c:strRef>
          </c:tx>
          <c:spPr>
            <a:solidFill>
              <a:srgbClr val="305496"/>
            </a:solidFill>
            <a:ln w="9525">
              <a:solidFill>
                <a:srgbClr val="808080"/>
              </a:solidFill>
            </a:ln>
            <a:effectLst/>
          </c:spPr>
          <c:invertIfNegative val="0"/>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Data'!$C$2:$C$14</c:f>
              <c:numCache>
                <c:formatCode>General</c:formatCode>
                <c:ptCount val="13"/>
                <c:pt idx="0">
                  <c:v>12219</c:v>
                </c:pt>
                <c:pt idx="1">
                  <c:v>10128</c:v>
                </c:pt>
                <c:pt idx="2">
                  <c:v>11786</c:v>
                </c:pt>
                <c:pt idx="3">
                  <c:v>11476</c:v>
                </c:pt>
                <c:pt idx="4">
                  <c:v>12500</c:v>
                </c:pt>
                <c:pt idx="5">
                  <c:v>12450</c:v>
                </c:pt>
                <c:pt idx="6">
                  <c:v>13098</c:v>
                </c:pt>
                <c:pt idx="7">
                  <c:v>12257</c:v>
                </c:pt>
                <c:pt idx="8">
                  <c:v>12485</c:v>
                </c:pt>
                <c:pt idx="9">
                  <c:v>11744</c:v>
                </c:pt>
                <c:pt idx="10">
                  <c:v>13279</c:v>
                </c:pt>
                <c:pt idx="11">
                  <c:v>12309</c:v>
                </c:pt>
                <c:pt idx="12">
                  <c:v>13409</c:v>
                </c:pt>
              </c:numCache>
            </c:numRef>
          </c:val>
          <c:extLst>
            <c:ext xmlns:c16="http://schemas.microsoft.com/office/drawing/2014/chart" uri="{C3380CC4-5D6E-409C-BE32-E72D297353CC}">
              <c16:uniqueId val="{00000001-52FC-49DC-BAAF-86F3243F30FA}"/>
            </c:ext>
          </c:extLst>
        </c:ser>
        <c:dLbls>
          <c:showLegendKey val="0"/>
          <c:showVal val="0"/>
          <c:showCatName val="0"/>
          <c:showSerName val="0"/>
          <c:showPercent val="0"/>
          <c:showBubbleSize val="0"/>
        </c:dLbls>
        <c:gapWidth val="100"/>
        <c:axId val="1044029024"/>
        <c:axId val="1044032864"/>
      </c:barChart>
      <c:lineChart>
        <c:grouping val="standard"/>
        <c:varyColors val="0"/>
        <c:ser>
          <c:idx val="0"/>
          <c:order val="0"/>
          <c:tx>
            <c:strRef>
              <c:f>'Sample Data'!$B$1</c:f>
              <c:strCache>
                <c:ptCount val="1"/>
                <c:pt idx="0">
                  <c:v>Average RHR</c:v>
                </c:pt>
              </c:strCache>
            </c:strRef>
          </c:tx>
          <c:spPr>
            <a:ln w="63500" cap="rnd" cmpd="sng" algn="ctr">
              <a:solidFill>
                <a:srgbClr val="B4C6E7">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Data'!$B$2:$B$14</c:f>
              <c:numCache>
                <c:formatCode>General</c:formatCode>
                <c:ptCount val="13"/>
                <c:pt idx="0">
                  <c:v>58</c:v>
                </c:pt>
                <c:pt idx="1">
                  <c:v>57</c:v>
                </c:pt>
                <c:pt idx="2">
                  <c:v>58</c:v>
                </c:pt>
                <c:pt idx="3">
                  <c:v>57</c:v>
                </c:pt>
                <c:pt idx="4">
                  <c:v>56</c:v>
                </c:pt>
                <c:pt idx="5">
                  <c:v>58</c:v>
                </c:pt>
                <c:pt idx="6">
                  <c:v>58</c:v>
                </c:pt>
                <c:pt idx="7">
                  <c:v>60</c:v>
                </c:pt>
                <c:pt idx="8">
                  <c:v>59</c:v>
                </c:pt>
                <c:pt idx="9">
                  <c:v>58</c:v>
                </c:pt>
                <c:pt idx="10">
                  <c:v>56</c:v>
                </c:pt>
                <c:pt idx="11">
                  <c:v>54</c:v>
                </c:pt>
                <c:pt idx="12">
                  <c:v>55</c:v>
                </c:pt>
              </c:numCache>
            </c:numRef>
          </c:val>
          <c:smooth val="0"/>
          <c:extLst>
            <c:ext xmlns:c16="http://schemas.microsoft.com/office/drawing/2014/chart" uri="{C3380CC4-5D6E-409C-BE32-E72D297353CC}">
              <c16:uniqueId val="{00000000-52FC-49DC-BAAF-86F3243F30FA}"/>
            </c:ext>
          </c:extLst>
        </c:ser>
        <c:ser>
          <c:idx val="2"/>
          <c:order val="2"/>
          <c:tx>
            <c:strRef>
              <c:f>'Sample Data'!$D$1</c:f>
              <c:strCache>
                <c:ptCount val="1"/>
                <c:pt idx="0">
                  <c:v>Average Zone Mins</c:v>
                </c:pt>
              </c:strCache>
            </c:strRef>
          </c:tx>
          <c:spPr>
            <a:ln w="63500" cap="rnd" cmpd="sng" algn="ctr">
              <a:solidFill>
                <a:srgbClr val="F8CBAD">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Data'!$D$2:$D$14</c:f>
              <c:numCache>
                <c:formatCode>General</c:formatCode>
                <c:ptCount val="13"/>
                <c:pt idx="0">
                  <c:v>41</c:v>
                </c:pt>
                <c:pt idx="1">
                  <c:v>31</c:v>
                </c:pt>
                <c:pt idx="2">
                  <c:v>40</c:v>
                </c:pt>
                <c:pt idx="3">
                  <c:v>46</c:v>
                </c:pt>
                <c:pt idx="4">
                  <c:v>66</c:v>
                </c:pt>
                <c:pt idx="5">
                  <c:v>65</c:v>
                </c:pt>
                <c:pt idx="6">
                  <c:v>66</c:v>
                </c:pt>
                <c:pt idx="7">
                  <c:v>52</c:v>
                </c:pt>
                <c:pt idx="8">
                  <c:v>56</c:v>
                </c:pt>
                <c:pt idx="9">
                  <c:v>48</c:v>
                </c:pt>
                <c:pt idx="10">
                  <c:v>71</c:v>
                </c:pt>
                <c:pt idx="11">
                  <c:v>55</c:v>
                </c:pt>
                <c:pt idx="12">
                  <c:v>59</c:v>
                </c:pt>
              </c:numCache>
            </c:numRef>
          </c:val>
          <c:smooth val="0"/>
          <c:extLst>
            <c:ext xmlns:c16="http://schemas.microsoft.com/office/drawing/2014/chart" uri="{C3380CC4-5D6E-409C-BE32-E72D297353CC}">
              <c16:uniqueId val="{00000002-52FC-49DC-BAAF-86F3243F30FA}"/>
            </c:ext>
          </c:extLst>
        </c:ser>
        <c:dLbls>
          <c:showLegendKey val="0"/>
          <c:showVal val="0"/>
          <c:showCatName val="0"/>
          <c:showSerName val="0"/>
          <c:showPercent val="0"/>
          <c:showBubbleSize val="0"/>
        </c:dLbls>
        <c:marker val="1"/>
        <c:smooth val="0"/>
        <c:axId val="1044030944"/>
        <c:axId val="1044029504"/>
      </c:lineChart>
      <c:dateAx>
        <c:axId val="10440290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32864"/>
        <c:crosses val="autoZero"/>
        <c:auto val="1"/>
        <c:lblOffset val="100"/>
        <c:baseTimeUnit val="months"/>
      </c:dateAx>
      <c:valAx>
        <c:axId val="104403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29024"/>
        <c:crosses val="autoZero"/>
        <c:crossBetween val="between"/>
      </c:valAx>
      <c:valAx>
        <c:axId val="104402950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1044030944"/>
        <c:crosses val="max"/>
        <c:crossBetween val="between"/>
      </c:valAx>
      <c:dateAx>
        <c:axId val="1044030944"/>
        <c:scaling>
          <c:orientation val="minMax"/>
        </c:scaling>
        <c:delete val="1"/>
        <c:axPos val="b"/>
        <c:numFmt formatCode="mmm\-yy" sourceLinked="1"/>
        <c:majorTickMark val="out"/>
        <c:minorTickMark val="none"/>
        <c:tickLblPos val="nextTo"/>
        <c:crossAx val="104402950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3D Pie Chart with Point Template Default 2</a:t>
            </a:r>
          </a:p>
        </c:rich>
      </c:tx>
      <c:overlay val="0"/>
      <c:spPr>
        <a:noFill/>
        <a:ln>
          <a:noFill/>
        </a:ln>
        <a:effectLst/>
      </c:spPr>
    </c:title>
    <c:autoTitleDeleted val="0"/>
    <c:view3D>
      <c:rotX val="30"/>
      <c:rotY val="9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'Sample Data'!$H$1</c:f>
              <c:strCache>
                <c:ptCount val="1"/>
                <c:pt idx="0">
                  <c:v>Likes</c:v>
                </c:pt>
              </c:strCache>
            </c:strRef>
          </c:tx>
          <c:explosion val="10"/>
          <c:dPt>
            <c:idx val="0"/>
            <c:bubble3D val="0"/>
            <c:spPr>
              <a:solidFill>
                <a:srgbClr val="806000"/>
              </a:solidFill>
              <a:ln w="9525">
                <a:solidFill>
                  <a:srgbClr val="404040"/>
                </a:solidFill>
              </a:ln>
              <a:effectLst/>
              <a:sp3d contourW="9525">
                <a:contourClr>
                  <a:srgbClr val="404040"/>
                </a:contourClr>
              </a:sp3d>
            </c:spPr>
            <c:extLst>
              <c:ext xmlns:c16="http://schemas.microsoft.com/office/drawing/2014/chart" uri="{C3380CC4-5D6E-409C-BE32-E72D297353CC}">
                <c16:uniqueId val="{00000001-B185-4789-A739-5581BE216FFA}"/>
              </c:ext>
            </c:extLst>
          </c:dPt>
          <c:dPt>
            <c:idx val="1"/>
            <c:bubble3D val="0"/>
            <c:spPr>
              <a:solidFill>
                <a:srgbClr val="BF8F00"/>
              </a:solidFill>
              <a:ln w="9525">
                <a:solidFill>
                  <a:srgbClr val="404040"/>
                </a:solidFill>
              </a:ln>
              <a:effectLst/>
              <a:sp3d contourW="9525">
                <a:contourClr>
                  <a:srgbClr val="404040"/>
                </a:contourClr>
              </a:sp3d>
            </c:spPr>
            <c:extLst>
              <c:ext xmlns:c16="http://schemas.microsoft.com/office/drawing/2014/chart" uri="{C3380CC4-5D6E-409C-BE32-E72D297353CC}">
                <c16:uniqueId val="{00000002-B185-4789-A739-5581BE216FFA}"/>
              </c:ext>
            </c:extLst>
          </c:dPt>
          <c:dPt>
            <c:idx val="2"/>
            <c:bubble3D val="0"/>
            <c:spPr>
              <a:solidFill>
                <a:srgbClr val="FFD966"/>
              </a:solidFill>
              <a:ln w="9525">
                <a:solidFill>
                  <a:srgbClr val="404040"/>
                </a:solidFill>
              </a:ln>
              <a:effectLst/>
              <a:sp3d contourW="9525">
                <a:contourClr>
                  <a:srgbClr val="404040"/>
                </a:contourClr>
              </a:sp3d>
            </c:spPr>
            <c:extLst>
              <c:ext xmlns:c16="http://schemas.microsoft.com/office/drawing/2014/chart" uri="{C3380CC4-5D6E-409C-BE32-E72D297353CC}">
                <c16:uniqueId val="{00000003-B185-4789-A739-5581BE216FFA}"/>
              </c:ext>
            </c:extLst>
          </c:dPt>
          <c:dPt>
            <c:idx val="3"/>
            <c:bubble3D val="0"/>
            <c:spPr>
              <a:solidFill>
                <a:srgbClr val="FFE699"/>
              </a:solidFill>
              <a:ln w="9525">
                <a:solidFill>
                  <a:srgbClr val="404040"/>
                </a:solidFill>
              </a:ln>
              <a:effectLst/>
              <a:sp3d contourW="9525">
                <a:contourClr>
                  <a:srgbClr val="404040"/>
                </a:contourClr>
              </a:sp3d>
            </c:spPr>
            <c:extLst>
              <c:ext xmlns:c16="http://schemas.microsoft.com/office/drawing/2014/chart" uri="{C3380CC4-5D6E-409C-BE32-E72D297353CC}">
                <c16:uniqueId val="{00000004-B185-4789-A739-5581BE216FFA}"/>
              </c:ext>
            </c:extLst>
          </c:dPt>
          <c:dPt>
            <c:idx val="4"/>
            <c:bubble3D val="0"/>
            <c:spPr>
              <a:solidFill>
                <a:srgbClr val="FFF2CC"/>
              </a:solidFill>
              <a:ln w="9525">
                <a:solidFill>
                  <a:srgbClr val="404040"/>
                </a:solidFill>
              </a:ln>
              <a:effectLst/>
              <a:sp3d contourW="9525">
                <a:contourClr>
                  <a:srgbClr val="404040"/>
                </a:contourClr>
              </a:sp3d>
            </c:spPr>
            <c:extLst>
              <c:ext xmlns:c16="http://schemas.microsoft.com/office/drawing/2014/chart" uri="{C3380CC4-5D6E-409C-BE32-E72D297353CC}">
                <c16:uniqueId val="{00000005-B185-4789-A739-5581BE216FFA}"/>
              </c:ext>
            </c:extLst>
          </c:dPt>
          <c:dPt>
            <c:idx val="5"/>
            <c:bubble3D val="0"/>
            <c:spPr>
              <a:solidFill>
                <a:srgbClr val="FFC000"/>
              </a:solidFill>
              <a:ln w="9525">
                <a:solidFill>
                  <a:srgbClr val="404040"/>
                </a:solidFill>
              </a:ln>
              <a:effectLst/>
              <a:sp3d contourW="9525">
                <a:contourClr>
                  <a:srgbClr val="404040"/>
                </a:contourClr>
              </a:sp3d>
            </c:spPr>
            <c:extLst>
              <c:ext xmlns:c16="http://schemas.microsoft.com/office/drawing/2014/chart" uri="{C3380CC4-5D6E-409C-BE32-E72D297353CC}">
                <c16:uniqueId val="{00000006-B185-4789-A739-5581BE216FFA}"/>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B185-4789-A739-5581BE216FFA}"/>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Column and Line Chart with Additional formatting</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barChart>
        <c:barDir val="col"/>
        <c:grouping val="clustered"/>
        <c:varyColors val="0"/>
        <c:ser>
          <c:idx val="1"/>
          <c:order val="1"/>
          <c:tx>
            <c:strRef>
              <c:f>'Sample Data'!$C$1</c:f>
              <c:strCache>
                <c:ptCount val="1"/>
                <c:pt idx="0">
                  <c:v>Average Steps</c:v>
                </c:pt>
              </c:strCache>
            </c:strRef>
          </c:tx>
          <c:spPr>
            <a:solidFill>
              <a:srgbClr val="C65911"/>
            </a:solidFill>
            <a:ln w="9525">
              <a:solidFill>
                <a:srgbClr val="808080"/>
              </a:solidFill>
            </a:ln>
            <a:effectLst/>
          </c:spPr>
          <c:invertIfNegative val="0"/>
          <c:dPt>
            <c:idx val="0"/>
            <c:invertIfNegative val="0"/>
            <c:bubble3D val="0"/>
            <c:spPr>
              <a:solidFill>
                <a:srgbClr val="FF0000"/>
              </a:solidFill>
              <a:ln w="9525">
                <a:solidFill>
                  <a:srgbClr val="404040"/>
                </a:solidFill>
              </a:ln>
              <a:effectLst/>
            </c:spPr>
            <c:extLst>
              <c:ext xmlns:c16="http://schemas.microsoft.com/office/drawing/2014/chart" uri="{C3380CC4-5D6E-409C-BE32-E72D297353CC}">
                <c16:uniqueId val="{00000003-0775-4D80-8F41-F5CC37E024CB}"/>
              </c:ext>
            </c:extLst>
          </c:dPt>
          <c:dPt>
            <c:idx val="1"/>
            <c:invertIfNegative val="0"/>
            <c:bubble3D val="0"/>
            <c:spPr>
              <a:solidFill>
                <a:srgbClr val="BF8F00"/>
              </a:solidFill>
              <a:ln w="9525">
                <a:solidFill>
                  <a:srgbClr val="404040"/>
                </a:solidFill>
              </a:ln>
              <a:effectLst/>
            </c:spPr>
            <c:extLst>
              <c:ext xmlns:c16="http://schemas.microsoft.com/office/drawing/2014/chart" uri="{C3380CC4-5D6E-409C-BE32-E72D297353CC}">
                <c16:uniqueId val="{00000004-0775-4D80-8F41-F5CC37E024CB}"/>
              </c:ext>
            </c:extLst>
          </c:dPt>
          <c:dPt>
            <c:idx val="2"/>
            <c:invertIfNegative val="0"/>
            <c:bubble3D val="0"/>
            <c:spPr>
              <a:solidFill>
                <a:srgbClr val="FFD966"/>
              </a:solidFill>
              <a:ln w="9525">
                <a:solidFill>
                  <a:srgbClr val="404040"/>
                </a:solidFill>
              </a:ln>
              <a:effectLst/>
            </c:spPr>
            <c:extLst>
              <c:ext xmlns:c16="http://schemas.microsoft.com/office/drawing/2014/chart" uri="{C3380CC4-5D6E-409C-BE32-E72D297353CC}">
                <c16:uniqueId val="{00000005-0775-4D80-8F41-F5CC37E024CB}"/>
              </c:ext>
            </c:extLst>
          </c:dPt>
          <c:dPt>
            <c:idx val="3"/>
            <c:invertIfNegative val="0"/>
            <c:bubble3D val="0"/>
            <c:spPr>
              <a:solidFill>
                <a:srgbClr val="FFE699"/>
              </a:solidFill>
              <a:ln w="9525">
                <a:solidFill>
                  <a:srgbClr val="404040"/>
                </a:solidFill>
              </a:ln>
              <a:effectLst/>
            </c:spPr>
            <c:extLst>
              <c:ext xmlns:c16="http://schemas.microsoft.com/office/drawing/2014/chart" uri="{C3380CC4-5D6E-409C-BE32-E72D297353CC}">
                <c16:uniqueId val="{00000006-0775-4D80-8F41-F5CC37E024CB}"/>
              </c:ext>
            </c:extLst>
          </c:dPt>
          <c:dPt>
            <c:idx val="4"/>
            <c:invertIfNegative val="0"/>
            <c:bubble3D val="0"/>
            <c:spPr>
              <a:solidFill>
                <a:srgbClr val="FFF2CC"/>
              </a:solidFill>
              <a:ln w="9525">
                <a:solidFill>
                  <a:srgbClr val="404040"/>
                </a:solidFill>
              </a:ln>
              <a:effectLst/>
            </c:spPr>
            <c:extLst>
              <c:ext xmlns:c16="http://schemas.microsoft.com/office/drawing/2014/chart" uri="{C3380CC4-5D6E-409C-BE32-E72D297353CC}">
                <c16:uniqueId val="{00000007-0775-4D80-8F41-F5CC37E024CB}"/>
              </c:ext>
            </c:extLst>
          </c:dPt>
          <c:dPt>
            <c:idx val="5"/>
            <c:invertIfNegative val="0"/>
            <c:bubble3D val="0"/>
            <c:spPr>
              <a:solidFill>
                <a:srgbClr val="FFC000"/>
              </a:solidFill>
              <a:ln w="9525">
                <a:solidFill>
                  <a:srgbClr val="404040"/>
                </a:solidFill>
              </a:ln>
              <a:effectLst/>
            </c:spPr>
            <c:extLst>
              <c:ext xmlns:c16="http://schemas.microsoft.com/office/drawing/2014/chart" uri="{C3380CC4-5D6E-409C-BE32-E72D297353CC}">
                <c16:uniqueId val="{00000008-0775-4D80-8F41-F5CC37E024CB}"/>
              </c:ext>
            </c:extLst>
          </c:dPt>
          <c:dPt>
            <c:idx val="12"/>
            <c:invertIfNegative val="0"/>
            <c:bubble3D val="0"/>
            <c:spPr>
              <a:solidFill>
                <a:srgbClr val="FF0000"/>
              </a:solidFill>
              <a:ln w="9525">
                <a:solidFill>
                  <a:srgbClr val="808080"/>
                </a:solidFill>
              </a:ln>
              <a:effectLst/>
            </c:spPr>
            <c:extLst>
              <c:ext xmlns:c16="http://schemas.microsoft.com/office/drawing/2014/chart" uri="{C3380CC4-5D6E-409C-BE32-E72D297353CC}">
                <c16:uniqueId val="{00000009-0775-4D80-8F41-F5CC37E024CB}"/>
              </c:ext>
            </c:extLst>
          </c:dPt>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Data'!$C$2:$C$14</c:f>
              <c:numCache>
                <c:formatCode>General</c:formatCode>
                <c:ptCount val="13"/>
                <c:pt idx="0">
                  <c:v>12219</c:v>
                </c:pt>
                <c:pt idx="1">
                  <c:v>10128</c:v>
                </c:pt>
                <c:pt idx="2">
                  <c:v>11786</c:v>
                </c:pt>
                <c:pt idx="3">
                  <c:v>11476</c:v>
                </c:pt>
                <c:pt idx="4">
                  <c:v>12500</c:v>
                </c:pt>
                <c:pt idx="5">
                  <c:v>12450</c:v>
                </c:pt>
                <c:pt idx="6">
                  <c:v>13098</c:v>
                </c:pt>
                <c:pt idx="7">
                  <c:v>12257</c:v>
                </c:pt>
                <c:pt idx="8">
                  <c:v>12485</c:v>
                </c:pt>
                <c:pt idx="9">
                  <c:v>11744</c:v>
                </c:pt>
                <c:pt idx="10">
                  <c:v>13279</c:v>
                </c:pt>
                <c:pt idx="11">
                  <c:v>12309</c:v>
                </c:pt>
                <c:pt idx="12">
                  <c:v>13409</c:v>
                </c:pt>
              </c:numCache>
            </c:numRef>
          </c:val>
          <c:extLst>
            <c:ext xmlns:c16="http://schemas.microsoft.com/office/drawing/2014/chart" uri="{C3380CC4-5D6E-409C-BE32-E72D297353CC}">
              <c16:uniqueId val="{00000001-0775-4D80-8F41-F5CC37E024CB}"/>
            </c:ext>
          </c:extLst>
        </c:ser>
        <c:dLbls>
          <c:showLegendKey val="0"/>
          <c:showVal val="0"/>
          <c:showCatName val="0"/>
          <c:showSerName val="0"/>
          <c:showPercent val="0"/>
          <c:showBubbleSize val="0"/>
        </c:dLbls>
        <c:gapWidth val="10"/>
        <c:axId val="851999712"/>
        <c:axId val="851995872"/>
      </c:barChart>
      <c:lineChart>
        <c:grouping val="standard"/>
        <c:varyColors val="0"/>
        <c:ser>
          <c:idx val="0"/>
          <c:order val="0"/>
          <c:tx>
            <c:strRef>
              <c:f>'Sample Data'!$B$1</c:f>
              <c:strCache>
                <c:ptCount val="1"/>
                <c:pt idx="0">
                  <c:v>Average RHR</c:v>
                </c:pt>
              </c:strCache>
            </c:strRef>
          </c:tx>
          <c:spPr>
            <a:ln w="63500" cap="rnd" cmpd="sng" algn="ctr">
              <a:solidFill>
                <a:srgbClr val="DBDBDB">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Data'!$B$2:$B$14</c:f>
              <c:numCache>
                <c:formatCode>General</c:formatCode>
                <c:ptCount val="13"/>
                <c:pt idx="0">
                  <c:v>58</c:v>
                </c:pt>
                <c:pt idx="1">
                  <c:v>57</c:v>
                </c:pt>
                <c:pt idx="2">
                  <c:v>58</c:v>
                </c:pt>
                <c:pt idx="3">
                  <c:v>57</c:v>
                </c:pt>
                <c:pt idx="4">
                  <c:v>56</c:v>
                </c:pt>
                <c:pt idx="5">
                  <c:v>58</c:v>
                </c:pt>
                <c:pt idx="6">
                  <c:v>58</c:v>
                </c:pt>
                <c:pt idx="7">
                  <c:v>60</c:v>
                </c:pt>
                <c:pt idx="8">
                  <c:v>59</c:v>
                </c:pt>
                <c:pt idx="9">
                  <c:v>58</c:v>
                </c:pt>
                <c:pt idx="10">
                  <c:v>56</c:v>
                </c:pt>
                <c:pt idx="11">
                  <c:v>54</c:v>
                </c:pt>
                <c:pt idx="12">
                  <c:v>55</c:v>
                </c:pt>
              </c:numCache>
            </c:numRef>
          </c:val>
          <c:smooth val="0"/>
          <c:extLst>
            <c:ext xmlns:c16="http://schemas.microsoft.com/office/drawing/2014/chart" uri="{C3380CC4-5D6E-409C-BE32-E72D297353CC}">
              <c16:uniqueId val="{00000000-0775-4D80-8F41-F5CC37E024CB}"/>
            </c:ext>
          </c:extLst>
        </c:ser>
        <c:ser>
          <c:idx val="2"/>
          <c:order val="2"/>
          <c:tx>
            <c:strRef>
              <c:f>'Sample Data'!$D$1</c:f>
              <c:strCache>
                <c:ptCount val="1"/>
                <c:pt idx="0">
                  <c:v>Average Zone Mins</c:v>
                </c:pt>
              </c:strCache>
            </c:strRef>
          </c:tx>
          <c:spPr>
            <a:ln w="63500" cap="rnd" cmpd="sng" algn="ctr">
              <a:solidFill>
                <a:srgbClr val="FFE699">
                  <a:alpha val="90000"/>
                </a:srgbClr>
              </a:solidFill>
              <a:prstDash val="solid"/>
              <a:round/>
              <a:headEnd type="none" w="med" len="med"/>
              <a:tailEnd type="none" w="med" len="med"/>
            </a:ln>
            <a:effectLst/>
          </c:spPr>
          <c:marker>
            <c:symbol val="none"/>
          </c:marker>
          <c:cat>
            <c:numRef>
              <c:f>'Sample Data'!$A$2:$A$14</c:f>
              <c:numCache>
                <c:formatCode>mmm\-yy</c:formatCode>
                <c:ptCount val="13"/>
                <c:pt idx="0">
                  <c:v>45292</c:v>
                </c:pt>
                <c:pt idx="1">
                  <c:v>45323</c:v>
                </c:pt>
                <c:pt idx="2">
                  <c:v>45352</c:v>
                </c:pt>
                <c:pt idx="3">
                  <c:v>45383</c:v>
                </c:pt>
                <c:pt idx="4">
                  <c:v>45413</c:v>
                </c:pt>
                <c:pt idx="5">
                  <c:v>45444</c:v>
                </c:pt>
                <c:pt idx="6">
                  <c:v>45474</c:v>
                </c:pt>
                <c:pt idx="7">
                  <c:v>45505</c:v>
                </c:pt>
                <c:pt idx="8">
                  <c:v>45536</c:v>
                </c:pt>
                <c:pt idx="9">
                  <c:v>45566</c:v>
                </c:pt>
                <c:pt idx="10">
                  <c:v>45597</c:v>
                </c:pt>
                <c:pt idx="11">
                  <c:v>45627</c:v>
                </c:pt>
                <c:pt idx="12">
                  <c:v>45658</c:v>
                </c:pt>
              </c:numCache>
            </c:numRef>
          </c:cat>
          <c:val>
            <c:numRef>
              <c:f>'Sample Data'!$D$2:$D$14</c:f>
              <c:numCache>
                <c:formatCode>General</c:formatCode>
                <c:ptCount val="13"/>
                <c:pt idx="0">
                  <c:v>41</c:v>
                </c:pt>
                <c:pt idx="1">
                  <c:v>31</c:v>
                </c:pt>
                <c:pt idx="2">
                  <c:v>40</c:v>
                </c:pt>
                <c:pt idx="3">
                  <c:v>46</c:v>
                </c:pt>
                <c:pt idx="4">
                  <c:v>66</c:v>
                </c:pt>
                <c:pt idx="5">
                  <c:v>65</c:v>
                </c:pt>
                <c:pt idx="6">
                  <c:v>66</c:v>
                </c:pt>
                <c:pt idx="7">
                  <c:v>52</c:v>
                </c:pt>
                <c:pt idx="8">
                  <c:v>56</c:v>
                </c:pt>
                <c:pt idx="9">
                  <c:v>48</c:v>
                </c:pt>
                <c:pt idx="10">
                  <c:v>71</c:v>
                </c:pt>
                <c:pt idx="11">
                  <c:v>55</c:v>
                </c:pt>
                <c:pt idx="12">
                  <c:v>59</c:v>
                </c:pt>
              </c:numCache>
            </c:numRef>
          </c:val>
          <c:smooth val="0"/>
          <c:extLst>
            <c:ext xmlns:c16="http://schemas.microsoft.com/office/drawing/2014/chart" uri="{C3380CC4-5D6E-409C-BE32-E72D297353CC}">
              <c16:uniqueId val="{00000002-0775-4D80-8F41-F5CC37E024CB}"/>
            </c:ext>
          </c:extLst>
        </c:ser>
        <c:dLbls>
          <c:showLegendKey val="0"/>
          <c:showVal val="0"/>
          <c:showCatName val="0"/>
          <c:showSerName val="0"/>
          <c:showPercent val="0"/>
          <c:showBubbleSize val="0"/>
        </c:dLbls>
        <c:marker val="1"/>
        <c:smooth val="0"/>
        <c:axId val="852004032"/>
        <c:axId val="851996352"/>
      </c:lineChart>
      <c:dateAx>
        <c:axId val="8519997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851995872"/>
        <c:crosses val="autoZero"/>
        <c:auto val="1"/>
        <c:lblOffset val="100"/>
        <c:baseTimeUnit val="months"/>
      </c:dateAx>
      <c:valAx>
        <c:axId val="85199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851999712"/>
        <c:crosses val="autoZero"/>
        <c:crossBetween val="between"/>
      </c:valAx>
      <c:valAx>
        <c:axId val="8519963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375623"/>
                </a:solidFill>
                <a:latin typeface="Arial"/>
                <a:ea typeface="Arial"/>
                <a:cs typeface="Arial"/>
              </a:defRPr>
            </a:pPr>
            <a:endParaRPr lang="en-US"/>
          </a:p>
        </c:txPr>
        <c:crossAx val="852004032"/>
        <c:crosses val="max"/>
        <c:crossBetween val="between"/>
      </c:valAx>
      <c:dateAx>
        <c:axId val="852004032"/>
        <c:scaling>
          <c:orientation val="minMax"/>
        </c:scaling>
        <c:delete val="1"/>
        <c:axPos val="b"/>
        <c:numFmt formatCode="mmm\-yy" sourceLinked="1"/>
        <c:majorTickMark val="out"/>
        <c:minorTickMark val="none"/>
        <c:tickLblPos val="nextTo"/>
        <c:crossAx val="85199635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Doughnut Chart with Point Template Default 1</a:t>
            </a:r>
          </a:p>
        </c:rich>
      </c:tx>
      <c:overlay val="0"/>
      <c:spPr>
        <a:noFill/>
        <a:ln>
          <a:noFill/>
        </a:ln>
        <a:effectLst/>
      </c:spPr>
    </c:title>
    <c:autoTitleDeleted val="0"/>
    <c:plotArea>
      <c:layout/>
      <c:doughnutChart>
        <c:varyColors val="1"/>
        <c:ser>
          <c:idx val="0"/>
          <c:order val="0"/>
          <c:tx>
            <c:strRef>
              <c:f>'Sample Data'!$H$1</c:f>
              <c:strCache>
                <c:ptCount val="1"/>
                <c:pt idx="0">
                  <c:v>Likes</c:v>
                </c:pt>
              </c:strCache>
            </c:strRef>
          </c:tx>
          <c:explosion val="5"/>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11A1-41D7-AA8F-A32E92A943E0}"/>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11A1-41D7-AA8F-A32E92A943E0}"/>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11A1-41D7-AA8F-A32E92A943E0}"/>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11A1-41D7-AA8F-A32E92A943E0}"/>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11A1-41D7-AA8F-A32E92A943E0}"/>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11A1-41D7-AA8F-A32E92A943E0}"/>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11A1-41D7-AA8F-A32E92A943E0}"/>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r>
              <a:rPr lang="en-US" sz="1400" b="1" i="1" u="none">
                <a:solidFill>
                  <a:srgbClr val="7030A0"/>
                </a:solidFill>
                <a:latin typeface="Calibri" panose="020F0502020204030204" pitchFamily="34" charset="0"/>
              </a:rPr>
              <a:t>Pie Chart with Point Template Default 1</a:t>
            </a:r>
          </a:p>
        </c:rich>
      </c:tx>
      <c:overlay val="0"/>
      <c:spPr>
        <a:noFill/>
        <a:ln>
          <a:noFill/>
        </a:ln>
        <a:effectLst/>
      </c:spPr>
      <c:txPr>
        <a:bodyPr rot="0" spcFirstLastPara="1" vertOverflow="ellipsis" vert="horz" wrap="square" anchor="ctr" anchorCtr="1"/>
        <a:lstStyle/>
        <a:p>
          <a:pPr>
            <a:defRPr sz="1400" b="1" i="1" u="none" strike="noStrike" kern="1200" spc="0" baseline="0">
              <a:solidFill>
                <a:srgbClr val="7030A0"/>
              </a:solidFill>
              <a:latin typeface="Calibri" panose="020F0502020204030204" pitchFamily="34" charset="0"/>
              <a:ea typeface="+mn-ea"/>
              <a:cs typeface="+mn-cs"/>
            </a:defRPr>
          </a:pPr>
          <a:endParaRPr lang="en-US"/>
        </a:p>
      </c:txPr>
    </c:title>
    <c:autoTitleDeleted val="0"/>
    <c:plotArea>
      <c:layout/>
      <c:pieChart>
        <c:varyColors val="1"/>
        <c:ser>
          <c:idx val="0"/>
          <c:order val="0"/>
          <c:tx>
            <c:strRef>
              <c:f>'Sample Data'!$H$1</c:f>
              <c:strCache>
                <c:ptCount val="1"/>
                <c:pt idx="0">
                  <c:v>Likes</c:v>
                </c:pt>
              </c:strCache>
            </c:strRef>
          </c:tx>
          <c:dPt>
            <c:idx val="0"/>
            <c:bubble3D val="0"/>
            <c:spPr>
              <a:solidFill>
                <a:srgbClr val="8EA9DB">
                  <a:alpha val="50000"/>
                </a:srgbClr>
              </a:solidFill>
              <a:ln w="25400">
                <a:solidFill>
                  <a:srgbClr val="8EA9DB"/>
                </a:solidFill>
              </a:ln>
              <a:effectLst/>
            </c:spPr>
            <c:extLst>
              <c:ext xmlns:c16="http://schemas.microsoft.com/office/drawing/2014/chart" uri="{C3380CC4-5D6E-409C-BE32-E72D297353CC}">
                <c16:uniqueId val="{00000001-231B-470A-844C-E5C61ADFA619}"/>
              </c:ext>
            </c:extLst>
          </c:dPt>
          <c:dPt>
            <c:idx val="1"/>
            <c:bubble3D val="0"/>
            <c:spPr>
              <a:solidFill>
                <a:srgbClr val="F4B084">
                  <a:alpha val="50000"/>
                </a:srgbClr>
              </a:solidFill>
              <a:ln w="25400">
                <a:solidFill>
                  <a:srgbClr val="F4B084"/>
                </a:solidFill>
              </a:ln>
              <a:effectLst/>
            </c:spPr>
            <c:extLst>
              <c:ext xmlns:c16="http://schemas.microsoft.com/office/drawing/2014/chart" uri="{C3380CC4-5D6E-409C-BE32-E72D297353CC}">
                <c16:uniqueId val="{00000002-231B-470A-844C-E5C61ADFA619}"/>
              </c:ext>
            </c:extLst>
          </c:dPt>
          <c:dPt>
            <c:idx val="2"/>
            <c:bubble3D val="0"/>
            <c:spPr>
              <a:solidFill>
                <a:srgbClr val="C9C9C9">
                  <a:alpha val="50000"/>
                </a:srgbClr>
              </a:solidFill>
              <a:ln w="25400">
                <a:solidFill>
                  <a:srgbClr val="C9C9C9"/>
                </a:solidFill>
              </a:ln>
              <a:effectLst/>
            </c:spPr>
            <c:extLst>
              <c:ext xmlns:c16="http://schemas.microsoft.com/office/drawing/2014/chart" uri="{C3380CC4-5D6E-409C-BE32-E72D297353CC}">
                <c16:uniqueId val="{00000003-231B-470A-844C-E5C61ADFA619}"/>
              </c:ext>
            </c:extLst>
          </c:dPt>
          <c:dPt>
            <c:idx val="3"/>
            <c:bubble3D val="0"/>
            <c:spPr>
              <a:solidFill>
                <a:srgbClr val="FFD966">
                  <a:alpha val="50000"/>
                </a:srgbClr>
              </a:solidFill>
              <a:ln w="25400">
                <a:solidFill>
                  <a:srgbClr val="FFD966"/>
                </a:solidFill>
              </a:ln>
              <a:effectLst/>
            </c:spPr>
            <c:extLst>
              <c:ext xmlns:c16="http://schemas.microsoft.com/office/drawing/2014/chart" uri="{C3380CC4-5D6E-409C-BE32-E72D297353CC}">
                <c16:uniqueId val="{00000004-231B-470A-844C-E5C61ADFA619}"/>
              </c:ext>
            </c:extLst>
          </c:dPt>
          <c:dPt>
            <c:idx val="4"/>
            <c:bubble3D val="0"/>
            <c:spPr>
              <a:solidFill>
                <a:srgbClr val="9BC2E6">
                  <a:alpha val="50000"/>
                </a:srgbClr>
              </a:solidFill>
              <a:ln w="25400">
                <a:solidFill>
                  <a:srgbClr val="9BC2E6"/>
                </a:solidFill>
              </a:ln>
              <a:effectLst/>
            </c:spPr>
            <c:extLst>
              <c:ext xmlns:c16="http://schemas.microsoft.com/office/drawing/2014/chart" uri="{C3380CC4-5D6E-409C-BE32-E72D297353CC}">
                <c16:uniqueId val="{00000005-231B-470A-844C-E5C61ADFA619}"/>
              </c:ext>
            </c:extLst>
          </c:dPt>
          <c:dPt>
            <c:idx val="5"/>
            <c:bubble3D val="0"/>
            <c:spPr>
              <a:solidFill>
                <a:srgbClr val="A9D08E">
                  <a:alpha val="50000"/>
                </a:srgbClr>
              </a:solidFill>
              <a:ln w="25400">
                <a:solidFill>
                  <a:srgbClr val="A9D08E"/>
                </a:solidFill>
              </a:ln>
              <a:effectLst/>
            </c:spPr>
            <c:extLst>
              <c:ext xmlns:c16="http://schemas.microsoft.com/office/drawing/2014/chart" uri="{C3380CC4-5D6E-409C-BE32-E72D297353CC}">
                <c16:uniqueId val="{00000006-231B-470A-844C-E5C61ADFA619}"/>
              </c:ext>
            </c:extLst>
          </c:dPt>
          <c:dLbls>
            <c:spPr>
              <a:solidFill>
                <a:srgbClr val="FFFFFF"/>
              </a:solidFill>
              <a:ln>
                <a:solidFill>
                  <a:srgbClr val="BFBFBF"/>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'Sample Data'!$G$2:$G$7</c:f>
              <c:strCache>
                <c:ptCount val="6"/>
                <c:pt idx="0">
                  <c:v>Fruit</c:v>
                </c:pt>
                <c:pt idx="1">
                  <c:v>Pie</c:v>
                </c:pt>
                <c:pt idx="2">
                  <c:v>Vegetables</c:v>
                </c:pt>
                <c:pt idx="3">
                  <c:v>Sweets</c:v>
                </c:pt>
                <c:pt idx="4">
                  <c:v>Steak</c:v>
                </c:pt>
                <c:pt idx="5">
                  <c:v>Cheese</c:v>
                </c:pt>
              </c:strCache>
            </c:strRef>
          </c:cat>
          <c:val>
            <c:numRef>
              <c:f>'Sample Data'!$H$2:$H$7</c:f>
              <c:numCache>
                <c:formatCode>General</c:formatCode>
                <c:ptCount val="6"/>
                <c:pt idx="0">
                  <c:v>35</c:v>
                </c:pt>
                <c:pt idx="1">
                  <c:v>54</c:v>
                </c:pt>
                <c:pt idx="2">
                  <c:v>27</c:v>
                </c:pt>
                <c:pt idx="3">
                  <c:v>19</c:v>
                </c:pt>
                <c:pt idx="4">
                  <c:v>31</c:v>
                </c:pt>
                <c:pt idx="5">
                  <c:v>10</c:v>
                </c:pt>
              </c:numCache>
            </c:numRef>
          </c:val>
          <c:extLst>
            <c:ext xmlns:c16="http://schemas.microsoft.com/office/drawing/2014/chart" uri="{C3380CC4-5D6E-409C-BE32-E72D297353CC}">
              <c16:uniqueId val="{00000000-231B-470A-844C-E5C61ADFA619}"/>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800" b="1" i="0" u="none" strike="noStrike" kern="1200" baseline="0">
              <a:solidFill>
                <a:srgbClr val="7030A0"/>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8ECEA"/>
    </a:solidFill>
    <a:ln w="25400" cap="flat" cmpd="sng" algn="ctr">
      <a:solidFill>
        <a:srgbClr val="80808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95250</xdr:colOff>
          <xdr:row>0</xdr:row>
          <xdr:rowOff>38100</xdr:rowOff>
        </xdr:from>
        <xdr:to>
          <xdr:col>16</xdr:col>
          <xdr:colOff>314325</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0</xdr:row>
          <xdr:rowOff>28575</xdr:rowOff>
        </xdr:from>
        <xdr:to>
          <xdr:col>12</xdr:col>
          <xdr:colOff>304800</xdr:colOff>
          <xdr:row>1</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0</xdr:row>
          <xdr:rowOff>28575</xdr:rowOff>
        </xdr:from>
        <xdr:to>
          <xdr:col>18</xdr:col>
          <xdr:colOff>647700</xdr:colOff>
          <xdr:row>1</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0" u="none" strike="noStrike" baseline="0">
                  <a:solidFill>
                    <a:srgbClr val="0000FF"/>
                  </a:solidFill>
                  <a:latin typeface="Calibri"/>
                  <a:ea typeface="Calibri"/>
                  <a:cs typeface="Calibri"/>
                </a:rPr>
                <a:t>Generate From Selected</a:t>
              </a:r>
            </a:p>
          </xdr:txBody>
        </xdr:sp>
        <xdr:clientData fPrintsWithSheet="0"/>
      </xdr:twoCellAnchor>
    </mc:Choice>
    <mc:Fallback/>
  </mc:AlternateContent>
  <xdr:twoCellAnchor>
    <xdr:from>
      <xdr:col>4</xdr:col>
      <xdr:colOff>0</xdr:colOff>
      <xdr:row>2</xdr:row>
      <xdr:rowOff>0</xdr:rowOff>
    </xdr:from>
    <xdr:to>
      <xdr:col>16</xdr:col>
      <xdr:colOff>304800</xdr:colOff>
      <xdr:row>24</xdr:row>
      <xdr:rowOff>177800</xdr:rowOff>
    </xdr:to>
    <xdr:graphicFrame macro="">
      <xdr:nvGraphicFramePr>
        <xdr:cNvPr id="34" name="Column 1">
          <a:extLst>
            <a:ext uri="{FF2B5EF4-FFF2-40B4-BE49-F238E27FC236}">
              <a16:creationId xmlns:a16="http://schemas.microsoft.com/office/drawing/2014/main" id="{7C142B83-3006-D562-43B5-5CD0EAF2B3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23</xdr:row>
      <xdr:rowOff>0</xdr:rowOff>
    </xdr:from>
    <xdr:to>
      <xdr:col>28</xdr:col>
      <xdr:colOff>177800</xdr:colOff>
      <xdr:row>43</xdr:row>
      <xdr:rowOff>0</xdr:rowOff>
    </xdr:to>
    <xdr:graphicFrame macro="">
      <xdr:nvGraphicFramePr>
        <xdr:cNvPr id="36" name="Pie Chart 2">
          <a:extLst>
            <a:ext uri="{FF2B5EF4-FFF2-40B4-BE49-F238E27FC236}">
              <a16:creationId xmlns:a16="http://schemas.microsoft.com/office/drawing/2014/main" id="{7211F2B5-0A29-5568-8BC2-3EEBB92219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26</xdr:row>
      <xdr:rowOff>0</xdr:rowOff>
    </xdr:from>
    <xdr:to>
      <xdr:col>16</xdr:col>
      <xdr:colOff>304800</xdr:colOff>
      <xdr:row>49</xdr:row>
      <xdr:rowOff>63500</xdr:rowOff>
    </xdr:to>
    <xdr:graphicFrame macro="">
      <xdr:nvGraphicFramePr>
        <xdr:cNvPr id="37" name="Column 2">
          <a:extLst>
            <a:ext uri="{FF2B5EF4-FFF2-40B4-BE49-F238E27FC236}">
              <a16:creationId xmlns:a16="http://schemas.microsoft.com/office/drawing/2014/main" id="{854A3F27-9046-6CA5-2572-4848BF227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44</xdr:row>
      <xdr:rowOff>0</xdr:rowOff>
    </xdr:from>
    <xdr:to>
      <xdr:col>28</xdr:col>
      <xdr:colOff>177800</xdr:colOff>
      <xdr:row>64</xdr:row>
      <xdr:rowOff>0</xdr:rowOff>
    </xdr:to>
    <xdr:graphicFrame macro="">
      <xdr:nvGraphicFramePr>
        <xdr:cNvPr id="38" name="Doughnut">
          <a:extLst>
            <a:ext uri="{FF2B5EF4-FFF2-40B4-BE49-F238E27FC236}">
              <a16:creationId xmlns:a16="http://schemas.microsoft.com/office/drawing/2014/main" id="{81D0260F-621D-D3A6-973F-B7447F35E1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2</xdr:row>
      <xdr:rowOff>0</xdr:rowOff>
    </xdr:from>
    <xdr:to>
      <xdr:col>28</xdr:col>
      <xdr:colOff>177800</xdr:colOff>
      <xdr:row>21</xdr:row>
      <xdr:rowOff>114300</xdr:rowOff>
    </xdr:to>
    <xdr:graphicFrame macro="">
      <xdr:nvGraphicFramePr>
        <xdr:cNvPr id="2" name="Pie Chart 1">
          <a:extLst>
            <a:ext uri="{FF2B5EF4-FFF2-40B4-BE49-F238E27FC236}">
              <a16:creationId xmlns:a16="http://schemas.microsoft.com/office/drawing/2014/main" id="{044D4A7A-6FCF-34D8-CB33-850302EC3A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F942BF-D950-41B1-A8F0-744541DB583F}" name="Table1" displayName="Table1" ref="A3:C37" totalsRowShown="0" headerRowDxfId="21" dataDxfId="20">
  <autoFilter ref="A3:C37" xr:uid="{D1F942BF-D950-41B1-A8F0-744541DB583F}"/>
  <tableColumns count="3">
    <tableColumn id="1" xr3:uid="{E6C06C2D-C7DD-452E-B0F5-5280D34FFA2A}" name="Name" dataDxfId="19"/>
    <tableColumn id="2" xr3:uid="{F5FA74D4-CFE1-4D46-9581-479888CC7F44}" name="Description" dataDxfId="18"/>
    <tableColumn id="3" xr3:uid="{602A2B21-A151-4E0F-92AF-DAEF275A9634}" name="Valid Values"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9F794B-838E-4184-A1CF-3A3FFF007F05}" name="Table3" displayName="Table3" ref="E3:G21" totalsRowShown="0" dataDxfId="16">
  <autoFilter ref="E3:G21" xr:uid="{FF9F794B-838E-4184-A1CF-3A3FFF007F05}"/>
  <tableColumns count="3">
    <tableColumn id="1" xr3:uid="{65FCAEB6-272F-4366-8D34-CEEE5539C876}" name="Name" dataDxfId="15" totalsRowDxfId="14"/>
    <tableColumn id="2" xr3:uid="{0760FC11-5833-4C77-B8DA-6A0E43020F77}" name="Description" dataDxfId="13" totalsRowDxfId="12"/>
    <tableColumn id="3" xr3:uid="{C2E68F87-D234-40C4-AB3F-DDFA834B3AA8}" name="Valid Values" dataDxfId="11" totalsRow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9D7819-4735-4BF5-BCD9-F348D93A1C99}" name="Table2" displayName="Table2" ref="A40:C51" totalsRowShown="0" headerRowDxfId="9" dataDxfId="8" tableBorderDxfId="7">
  <autoFilter ref="A40:C51" xr:uid="{139D7819-4735-4BF5-BCD9-F348D93A1C99}"/>
  <tableColumns count="3">
    <tableColumn id="1" xr3:uid="{FAA26D00-EABA-4211-94A2-334DD1F03DD4}" name="Name" dataDxfId="6"/>
    <tableColumn id="2" xr3:uid="{C092CDA8-B292-476F-B84B-84885C96EB28}" name="Description" dataDxfId="5"/>
    <tableColumn id="3" xr3:uid="{92C42534-68A6-4443-BFD5-05263277F161}" name="Valid Values" dataDxfId="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608A3-A113-42C2-B684-61924ACF5272}" name="Table4" displayName="Table4" ref="E24:G34" totalsRowShown="0" dataDxfId="3">
  <autoFilter ref="E24:G34" xr:uid="{33F608A3-A113-42C2-B684-61924ACF5272}"/>
  <tableColumns count="3">
    <tableColumn id="1" xr3:uid="{1F9FDFE3-96EE-457C-AFFE-EBF1B4343487}" name="Name" dataDxfId="2"/>
    <tableColumn id="2" xr3:uid="{497226DD-A3FA-4D16-BF63-E312950BA055}" name="Description" dataDxfId="1"/>
    <tableColumn id="3" xr3:uid="{5F13E978-98AE-4136-BA74-142945DE1B4D}"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linkedin.com/in/kelsey-petterson-14103695/"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5C935-8DC6-4EF5-A22C-B5B14C65325D}">
  <sheetPr codeName="Sheet8">
    <tabColor rgb="FF00B0F0"/>
  </sheetPr>
  <dimension ref="A1:A23"/>
  <sheetViews>
    <sheetView workbookViewId="0"/>
  </sheetViews>
  <sheetFormatPr defaultRowHeight="15" x14ac:dyDescent="0.25"/>
  <cols>
    <col min="1" max="1" width="101.5703125" style="3" customWidth="1"/>
  </cols>
  <sheetData>
    <row r="1" spans="1:1" ht="23.25" x14ac:dyDescent="0.35">
      <c r="A1" s="39" t="s">
        <v>385</v>
      </c>
    </row>
    <row r="3" spans="1:1" x14ac:dyDescent="0.25">
      <c r="A3" s="3" t="s">
        <v>386</v>
      </c>
    </row>
    <row r="5" spans="1:1" x14ac:dyDescent="0.25">
      <c r="A5" s="40" t="s">
        <v>387</v>
      </c>
    </row>
    <row r="7" spans="1:1" ht="60" x14ac:dyDescent="0.25">
      <c r="A7" s="3" t="s">
        <v>388</v>
      </c>
    </row>
    <row r="9" spans="1:1" ht="30" x14ac:dyDescent="0.25">
      <c r="A9" s="3" t="s">
        <v>389</v>
      </c>
    </row>
    <row r="11" spans="1:1" x14ac:dyDescent="0.25">
      <c r="A11" s="3" t="s">
        <v>391</v>
      </c>
    </row>
    <row r="13" spans="1:1" ht="45" x14ac:dyDescent="0.25">
      <c r="A13" s="3" t="s">
        <v>390</v>
      </c>
    </row>
    <row r="15" spans="1:1" ht="45" x14ac:dyDescent="0.25">
      <c r="A15" s="3" t="s">
        <v>392</v>
      </c>
    </row>
    <row r="17" spans="1:1" ht="60" x14ac:dyDescent="0.25">
      <c r="A17" s="3" t="s">
        <v>394</v>
      </c>
    </row>
    <row r="19" spans="1:1" x14ac:dyDescent="0.25">
      <c r="A19" s="3" t="s">
        <v>395</v>
      </c>
    </row>
    <row r="21" spans="1:1" ht="45" x14ac:dyDescent="0.25">
      <c r="A21" s="3" t="s">
        <v>397</v>
      </c>
    </row>
    <row r="23" spans="1:1" x14ac:dyDescent="0.25">
      <c r="A23" s="40" t="s">
        <v>396</v>
      </c>
    </row>
  </sheetData>
  <hyperlinks>
    <hyperlink ref="A5" r:id="rId1" xr:uid="{C299257A-889C-41E5-AB55-1F6A2C5B8FE8}"/>
    <hyperlink ref="A23" location="'Sample Chart Definitions'!A1" display="Refer to the examples in the sheet &quot;Sample Chart Definitions&quot;." xr:uid="{EA1AE414-6162-4E13-98BF-0AFF2DF50A6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3C72C-F41E-40C2-98F6-4D9307D75672}">
  <sheetPr codeName="Sheet4">
    <tabColor rgb="FFFF0000"/>
  </sheetPr>
  <dimension ref="A1:G51"/>
  <sheetViews>
    <sheetView workbookViewId="0">
      <pane ySplit="3" topLeftCell="A5" activePane="bottomLeft" state="frozen"/>
      <selection pane="bottomLeft" activeCell="C18" sqref="C18"/>
    </sheetView>
  </sheetViews>
  <sheetFormatPr defaultRowHeight="15" x14ac:dyDescent="0.25"/>
  <cols>
    <col min="1" max="1" width="30.140625" style="3" customWidth="1"/>
    <col min="2" max="2" width="94" style="3" customWidth="1"/>
    <col min="3" max="3" width="53.85546875" style="3" customWidth="1"/>
    <col min="5" max="5" width="30.140625" customWidth="1"/>
    <col min="6" max="6" width="94" customWidth="1"/>
    <col min="7" max="7" width="53.85546875" customWidth="1"/>
  </cols>
  <sheetData>
    <row r="1" spans="1:7" s="8" customFormat="1" ht="42" x14ac:dyDescent="0.35">
      <c r="A1" s="7" t="s">
        <v>398</v>
      </c>
      <c r="B1" s="7"/>
      <c r="C1" s="7"/>
      <c r="E1" s="8" t="s">
        <v>54</v>
      </c>
    </row>
    <row r="3" spans="1:7" x14ac:dyDescent="0.25">
      <c r="A3" s="3" t="s">
        <v>11</v>
      </c>
      <c r="B3" s="3" t="s">
        <v>12</v>
      </c>
      <c r="C3" t="s">
        <v>256</v>
      </c>
      <c r="E3" t="s">
        <v>11</v>
      </c>
      <c r="F3" t="s">
        <v>12</v>
      </c>
      <c r="G3" t="s">
        <v>256</v>
      </c>
    </row>
    <row r="4" spans="1:7" ht="45" x14ac:dyDescent="0.25">
      <c r="A4" s="3" t="s">
        <v>5</v>
      </c>
      <c r="B4" s="3" t="s">
        <v>13</v>
      </c>
      <c r="C4" s="3" t="s">
        <v>44</v>
      </c>
      <c r="E4" s="18" t="s">
        <v>69</v>
      </c>
      <c r="F4" s="3" t="s">
        <v>70</v>
      </c>
      <c r="G4" s="3"/>
    </row>
    <row r="5" spans="1:7" ht="45" x14ac:dyDescent="0.25">
      <c r="A5" s="3" t="s">
        <v>8</v>
      </c>
      <c r="B5" s="3" t="s">
        <v>14</v>
      </c>
      <c r="C5" s="3" t="s">
        <v>15</v>
      </c>
      <c r="E5" s="3" t="s">
        <v>5</v>
      </c>
      <c r="F5" s="3" t="s">
        <v>13</v>
      </c>
      <c r="G5" s="3" t="s">
        <v>55</v>
      </c>
    </row>
    <row r="6" spans="1:7" ht="45" x14ac:dyDescent="0.25">
      <c r="A6" s="3" t="s">
        <v>6</v>
      </c>
      <c r="B6" s="3" t="s">
        <v>16</v>
      </c>
      <c r="C6" s="3" t="s">
        <v>18</v>
      </c>
      <c r="E6" s="3" t="s">
        <v>81</v>
      </c>
      <c r="F6" s="3" t="s">
        <v>82</v>
      </c>
      <c r="G6" s="3" t="s">
        <v>58</v>
      </c>
    </row>
    <row r="7" spans="1:7" ht="30" x14ac:dyDescent="0.25">
      <c r="A7" s="3" t="s">
        <v>7</v>
      </c>
      <c r="B7" s="3" t="s">
        <v>17</v>
      </c>
      <c r="C7" s="3" t="s">
        <v>18</v>
      </c>
      <c r="E7" s="3" t="s">
        <v>78</v>
      </c>
      <c r="F7" s="3" t="s">
        <v>79</v>
      </c>
      <c r="G7" s="3" t="s">
        <v>58</v>
      </c>
    </row>
    <row r="8" spans="1:7" ht="30" x14ac:dyDescent="0.25">
      <c r="A8" s="3" t="s">
        <v>1</v>
      </c>
      <c r="B8" s="3" t="s">
        <v>19</v>
      </c>
      <c r="C8" s="3" t="s">
        <v>21</v>
      </c>
      <c r="E8" s="3" t="s">
        <v>77</v>
      </c>
      <c r="F8" s="3" t="s">
        <v>80</v>
      </c>
      <c r="G8" s="3" t="s">
        <v>58</v>
      </c>
    </row>
    <row r="9" spans="1:7" x14ac:dyDescent="0.25">
      <c r="A9" s="3" t="s">
        <v>2</v>
      </c>
      <c r="B9" s="3" t="s">
        <v>20</v>
      </c>
      <c r="C9" s="3" t="s">
        <v>21</v>
      </c>
      <c r="E9" s="3" t="s">
        <v>59</v>
      </c>
      <c r="F9" s="3" t="s">
        <v>64</v>
      </c>
      <c r="G9" s="3" t="s">
        <v>63</v>
      </c>
    </row>
    <row r="10" spans="1:7" ht="30" x14ac:dyDescent="0.25">
      <c r="A10" s="3" t="s">
        <v>9</v>
      </c>
      <c r="B10" s="3" t="s">
        <v>22</v>
      </c>
      <c r="C10" s="3" t="s">
        <v>15</v>
      </c>
      <c r="E10" s="3" t="s">
        <v>56</v>
      </c>
      <c r="F10" s="3" t="s">
        <v>57</v>
      </c>
      <c r="G10" s="3" t="s">
        <v>83</v>
      </c>
    </row>
    <row r="11" spans="1:7" ht="30" x14ac:dyDescent="0.25">
      <c r="A11" s="3" t="s">
        <v>32</v>
      </c>
      <c r="B11" s="3" t="s">
        <v>33</v>
      </c>
      <c r="E11" s="3" t="s">
        <v>60</v>
      </c>
      <c r="F11" s="3" t="s">
        <v>61</v>
      </c>
      <c r="G11" s="3" t="s">
        <v>83</v>
      </c>
    </row>
    <row r="12" spans="1:7" x14ac:dyDescent="0.25">
      <c r="A12" s="3" t="s">
        <v>10</v>
      </c>
      <c r="B12" s="3" t="s">
        <v>383</v>
      </c>
      <c r="C12" s="3" t="s">
        <v>25</v>
      </c>
      <c r="E12" s="3" t="s">
        <v>84</v>
      </c>
      <c r="F12" s="3" t="s">
        <v>89</v>
      </c>
      <c r="G12" s="3" t="s">
        <v>96</v>
      </c>
    </row>
    <row r="13" spans="1:7" ht="30" x14ac:dyDescent="0.25">
      <c r="A13" s="3" t="s">
        <v>34</v>
      </c>
      <c r="B13" s="3" t="s">
        <v>33</v>
      </c>
      <c r="E13" s="3" t="s">
        <v>73</v>
      </c>
      <c r="F13" s="3" t="s">
        <v>76</v>
      </c>
      <c r="G13" s="3" t="s">
        <v>83</v>
      </c>
    </row>
    <row r="14" spans="1:7" ht="30" x14ac:dyDescent="0.25">
      <c r="A14" s="3" t="s">
        <v>27</v>
      </c>
      <c r="B14" s="3" t="s">
        <v>30</v>
      </c>
      <c r="C14" s="3" t="s">
        <v>28</v>
      </c>
      <c r="E14" s="3" t="s">
        <v>74</v>
      </c>
      <c r="F14" s="3" t="s">
        <v>75</v>
      </c>
      <c r="G14" s="3" t="s">
        <v>83</v>
      </c>
    </row>
    <row r="15" spans="1:7" ht="90" x14ac:dyDescent="0.25">
      <c r="A15" s="3" t="s">
        <v>35</v>
      </c>
      <c r="B15" s="3" t="s">
        <v>39</v>
      </c>
      <c r="C15" s="3" t="s">
        <v>456</v>
      </c>
      <c r="E15" s="3" t="s">
        <v>85</v>
      </c>
      <c r="F15" s="3" t="s">
        <v>86</v>
      </c>
      <c r="G15" s="3" t="s">
        <v>96</v>
      </c>
    </row>
    <row r="16" spans="1:7" ht="45" x14ac:dyDescent="0.25">
      <c r="A16" s="3" t="s">
        <v>41</v>
      </c>
      <c r="B16" s="3" t="s">
        <v>42</v>
      </c>
      <c r="C16" s="3" t="s">
        <v>43</v>
      </c>
      <c r="E16" s="3" t="s">
        <v>87</v>
      </c>
      <c r="F16" s="3" t="s">
        <v>88</v>
      </c>
      <c r="G16" s="3" t="s">
        <v>111</v>
      </c>
    </row>
    <row r="17" spans="1:7" ht="45" x14ac:dyDescent="0.25">
      <c r="A17" s="3" t="s">
        <v>71</v>
      </c>
      <c r="B17" s="3" t="s">
        <v>72</v>
      </c>
      <c r="E17" s="3" t="s">
        <v>66</v>
      </c>
      <c r="F17" s="3" t="s">
        <v>67</v>
      </c>
      <c r="G17" s="3" t="s">
        <v>68</v>
      </c>
    </row>
    <row r="18" spans="1:7" ht="45" x14ac:dyDescent="0.25">
      <c r="A18" s="3" t="s">
        <v>90</v>
      </c>
      <c r="B18" s="3" t="s">
        <v>91</v>
      </c>
      <c r="C18" s="3" t="s">
        <v>95</v>
      </c>
      <c r="E18" s="3" t="s">
        <v>368</v>
      </c>
      <c r="F18" s="3" t="s">
        <v>375</v>
      </c>
      <c r="G18" s="3" t="s">
        <v>374</v>
      </c>
    </row>
    <row r="19" spans="1:7" ht="30" x14ac:dyDescent="0.25">
      <c r="A19" s="3" t="s">
        <v>92</v>
      </c>
      <c r="B19" s="3" t="s">
        <v>93</v>
      </c>
      <c r="C19" s="10" t="s">
        <v>94</v>
      </c>
      <c r="E19" s="3"/>
      <c r="F19" s="3"/>
      <c r="G19" s="3"/>
    </row>
    <row r="20" spans="1:7" ht="45" x14ac:dyDescent="0.25">
      <c r="A20" s="3" t="s">
        <v>259</v>
      </c>
      <c r="B20" s="3" t="s">
        <v>260</v>
      </c>
      <c r="C20" s="10" t="s">
        <v>261</v>
      </c>
      <c r="E20" s="3"/>
      <c r="F20" s="3"/>
      <c r="G20" s="3"/>
    </row>
    <row r="21" spans="1:7" ht="30" x14ac:dyDescent="0.25">
      <c r="A21" s="3" t="s">
        <v>97</v>
      </c>
      <c r="B21" s="3" t="s">
        <v>98</v>
      </c>
      <c r="C21" s="3" t="s">
        <v>83</v>
      </c>
      <c r="E21" s="3"/>
      <c r="F21" s="3"/>
      <c r="G21" s="3"/>
    </row>
    <row r="22" spans="1:7" x14ac:dyDescent="0.25">
      <c r="A22" s="3" t="s">
        <v>99</v>
      </c>
      <c r="B22" s="3" t="s">
        <v>100</v>
      </c>
      <c r="C22" s="3" t="s">
        <v>96</v>
      </c>
    </row>
    <row r="23" spans="1:7" ht="21" x14ac:dyDescent="0.35">
      <c r="A23" s="3" t="s">
        <v>113</v>
      </c>
      <c r="B23" s="3" t="s">
        <v>114</v>
      </c>
      <c r="C23" s="3" t="s">
        <v>24</v>
      </c>
      <c r="E23" s="8" t="s">
        <v>257</v>
      </c>
    </row>
    <row r="24" spans="1:7" ht="30" x14ac:dyDescent="0.25">
      <c r="A24" s="3" t="s">
        <v>106</v>
      </c>
      <c r="B24" s="3" t="s">
        <v>109</v>
      </c>
      <c r="C24" s="3" t="s">
        <v>83</v>
      </c>
      <c r="E24" t="s">
        <v>11</v>
      </c>
      <c r="F24" t="s">
        <v>12</v>
      </c>
      <c r="G24" t="s">
        <v>256</v>
      </c>
    </row>
    <row r="25" spans="1:7" ht="120" x14ac:dyDescent="0.25">
      <c r="A25" s="3" t="s">
        <v>107</v>
      </c>
      <c r="B25" s="3" t="s">
        <v>110</v>
      </c>
      <c r="C25" s="3" t="s">
        <v>111</v>
      </c>
      <c r="E25" s="18" t="s">
        <v>69</v>
      </c>
      <c r="F25" s="3" t="s">
        <v>393</v>
      </c>
      <c r="G25" s="3"/>
    </row>
    <row r="26" spans="1:7" x14ac:dyDescent="0.25">
      <c r="A26" s="3" t="s">
        <v>108</v>
      </c>
      <c r="B26" s="3" t="s">
        <v>112</v>
      </c>
      <c r="C26" s="3" t="s">
        <v>96</v>
      </c>
      <c r="E26" s="18"/>
      <c r="F26" s="3"/>
      <c r="G26" s="3"/>
    </row>
    <row r="27" spans="1:7" ht="30" x14ac:dyDescent="0.25">
      <c r="A27" s="3" t="s">
        <v>115</v>
      </c>
      <c r="B27" s="3" t="s">
        <v>116</v>
      </c>
      <c r="C27" s="3" t="s">
        <v>24</v>
      </c>
      <c r="E27" s="3" t="s">
        <v>56</v>
      </c>
      <c r="F27" s="3" t="s">
        <v>57</v>
      </c>
      <c r="G27" s="3" t="s">
        <v>83</v>
      </c>
    </row>
    <row r="28" spans="1:7" ht="30" x14ac:dyDescent="0.25">
      <c r="A28" s="3" t="s">
        <v>224</v>
      </c>
      <c r="B28" s="3" t="s">
        <v>225</v>
      </c>
      <c r="C28" s="3" t="s">
        <v>213</v>
      </c>
      <c r="E28" s="3" t="s">
        <v>73</v>
      </c>
      <c r="F28" s="3" t="s">
        <v>76</v>
      </c>
      <c r="G28" s="3" t="s">
        <v>83</v>
      </c>
    </row>
    <row r="29" spans="1:7" x14ac:dyDescent="0.25">
      <c r="A29" s="3" t="s">
        <v>215</v>
      </c>
      <c r="B29" s="3" t="s">
        <v>220</v>
      </c>
      <c r="C29" s="3" t="s">
        <v>226</v>
      </c>
      <c r="E29" s="3" t="s">
        <v>84</v>
      </c>
      <c r="F29" s="3" t="s">
        <v>89</v>
      </c>
      <c r="G29" s="3" t="s">
        <v>96</v>
      </c>
    </row>
    <row r="30" spans="1:7" x14ac:dyDescent="0.25">
      <c r="A30" s="3" t="s">
        <v>216</v>
      </c>
      <c r="B30" s="3" t="s">
        <v>221</v>
      </c>
      <c r="C30" s="3" t="s">
        <v>226</v>
      </c>
      <c r="E30" s="3" t="s">
        <v>85</v>
      </c>
      <c r="F30" s="3" t="s">
        <v>86</v>
      </c>
      <c r="G30" s="3" t="s">
        <v>96</v>
      </c>
    </row>
    <row r="31" spans="1:7" x14ac:dyDescent="0.25">
      <c r="A31" s="3" t="s">
        <v>217</v>
      </c>
      <c r="B31" s="3" t="s">
        <v>222</v>
      </c>
      <c r="C31" s="3" t="s">
        <v>226</v>
      </c>
      <c r="E31" s="3" t="s">
        <v>87</v>
      </c>
      <c r="F31" s="3" t="s">
        <v>88</v>
      </c>
      <c r="G31" s="3" t="s">
        <v>111</v>
      </c>
    </row>
    <row r="32" spans="1:7" x14ac:dyDescent="0.25">
      <c r="A32" s="3" t="s">
        <v>218</v>
      </c>
      <c r="B32" s="3" t="s">
        <v>223</v>
      </c>
      <c r="C32" s="3" t="s">
        <v>226</v>
      </c>
      <c r="E32" s="3" t="s">
        <v>81</v>
      </c>
      <c r="F32" s="3"/>
      <c r="G32" s="3"/>
    </row>
    <row r="33" spans="1:7" ht="30" x14ac:dyDescent="0.25">
      <c r="A33" s="3" t="s">
        <v>245</v>
      </c>
      <c r="B33" s="3" t="s">
        <v>243</v>
      </c>
      <c r="C33" s="3" t="s">
        <v>219</v>
      </c>
      <c r="E33" s="3" t="s">
        <v>78</v>
      </c>
      <c r="F33" s="3"/>
      <c r="G33" s="3"/>
    </row>
    <row r="34" spans="1:7" ht="30" x14ac:dyDescent="0.25">
      <c r="A34" s="3" t="s">
        <v>246</v>
      </c>
      <c r="B34" s="3" t="s">
        <v>244</v>
      </c>
      <c r="C34" s="3" t="s">
        <v>226</v>
      </c>
      <c r="E34" s="3"/>
      <c r="F34" s="3"/>
      <c r="G34" s="3"/>
    </row>
    <row r="35" spans="1:7" x14ac:dyDescent="0.25">
      <c r="A35" s="3" t="s">
        <v>357</v>
      </c>
      <c r="B35" s="3" t="s">
        <v>358</v>
      </c>
      <c r="C35" s="3" t="s">
        <v>359</v>
      </c>
    </row>
    <row r="36" spans="1:7" x14ac:dyDescent="0.25">
      <c r="A36" s="3" t="s">
        <v>360</v>
      </c>
      <c r="B36" s="3" t="s">
        <v>361</v>
      </c>
      <c r="C36" s="3" t="s">
        <v>362</v>
      </c>
    </row>
    <row r="38" spans="1:7" ht="21" x14ac:dyDescent="0.35">
      <c r="A38" s="7" t="s">
        <v>134</v>
      </c>
    </row>
    <row r="40" spans="1:7" x14ac:dyDescent="0.25">
      <c r="A40" s="3" t="s">
        <v>11</v>
      </c>
      <c r="B40" s="3" t="s">
        <v>12</v>
      </c>
      <c r="C40" t="s">
        <v>256</v>
      </c>
    </row>
    <row r="41" spans="1:7" ht="105" x14ac:dyDescent="0.25">
      <c r="A41" s="16" t="s">
        <v>101</v>
      </c>
      <c r="B41" s="16" t="s">
        <v>105</v>
      </c>
      <c r="C41" s="16" t="s">
        <v>135</v>
      </c>
    </row>
    <row r="42" spans="1:7" x14ac:dyDescent="0.25">
      <c r="A42" s="16"/>
      <c r="B42" s="16"/>
      <c r="C42" s="16"/>
    </row>
    <row r="43" spans="1:7" ht="45" x14ac:dyDescent="0.25">
      <c r="A43" s="16" t="s">
        <v>121</v>
      </c>
      <c r="B43" s="16" t="s">
        <v>136</v>
      </c>
      <c r="C43" s="16" t="s">
        <v>214</v>
      </c>
    </row>
    <row r="44" spans="1:7" x14ac:dyDescent="0.25">
      <c r="A44" s="16" t="s">
        <v>122</v>
      </c>
      <c r="B44" s="16" t="s">
        <v>128</v>
      </c>
      <c r="C44" s="16" t="s">
        <v>23</v>
      </c>
    </row>
    <row r="45" spans="1:7" x14ac:dyDescent="0.25">
      <c r="A45" s="16" t="s">
        <v>123</v>
      </c>
      <c r="B45" s="16" t="s">
        <v>129</v>
      </c>
      <c r="C45" s="16" t="s">
        <v>21</v>
      </c>
    </row>
    <row r="46" spans="1:7" x14ac:dyDescent="0.25">
      <c r="A46" s="16" t="s">
        <v>124</v>
      </c>
      <c r="B46" s="16" t="s">
        <v>130</v>
      </c>
      <c r="C46" s="16" t="s">
        <v>24</v>
      </c>
    </row>
    <row r="47" spans="1:7" x14ac:dyDescent="0.25">
      <c r="A47" s="16" t="s">
        <v>125</v>
      </c>
      <c r="B47" s="16" t="s">
        <v>131</v>
      </c>
      <c r="C47" s="16" t="s">
        <v>24</v>
      </c>
    </row>
    <row r="48" spans="1:7" ht="30" x14ac:dyDescent="0.25">
      <c r="A48" s="16" t="s">
        <v>126</v>
      </c>
      <c r="B48" s="16" t="s">
        <v>132</v>
      </c>
      <c r="C48" s="16" t="s">
        <v>31</v>
      </c>
    </row>
    <row r="49" spans="1:3" ht="30" x14ac:dyDescent="0.25">
      <c r="A49" s="17" t="s">
        <v>127</v>
      </c>
      <c r="B49" s="17" t="s">
        <v>133</v>
      </c>
      <c r="C49" s="17" t="s">
        <v>83</v>
      </c>
    </row>
    <row r="50" spans="1:3" x14ac:dyDescent="0.25">
      <c r="A50" s="17"/>
      <c r="B50" s="17"/>
      <c r="C50" s="17"/>
    </row>
    <row r="51" spans="1:3" x14ac:dyDescent="0.25">
      <c r="A51" s="17"/>
      <c r="B51" s="17"/>
      <c r="C51" s="17"/>
    </row>
  </sheetData>
  <pageMargins left="0.7" right="0.7" top="0.75" bottom="0.75" header="0.3" footer="0.3"/>
  <pageSetup paperSize="9" orientation="portrait"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A6A5-9F4C-43FE-85C5-DAA2C7CE3777}">
  <sheetPr codeName="Sheet3"/>
  <dimension ref="A3:S56"/>
  <sheetViews>
    <sheetView tabSelected="1" zoomScaleNormal="100" workbookViewId="0"/>
  </sheetViews>
  <sheetFormatPr defaultRowHeight="15" x14ac:dyDescent="0.25"/>
  <cols>
    <col min="1" max="1" width="23.42578125" bestFit="1" customWidth="1"/>
    <col min="2" max="2" width="26" customWidth="1"/>
    <col min="18" max="18" width="22.28515625" bestFit="1" customWidth="1"/>
    <col min="19" max="19" width="24" customWidth="1"/>
  </cols>
  <sheetData>
    <row r="3" spans="1:19" x14ac:dyDescent="0.25">
      <c r="A3" t="s">
        <v>4</v>
      </c>
      <c r="R3" t="s">
        <v>4</v>
      </c>
    </row>
    <row r="4" spans="1:19" x14ac:dyDescent="0.25">
      <c r="A4" t="s">
        <v>8</v>
      </c>
      <c r="B4" t="s">
        <v>353</v>
      </c>
      <c r="R4" t="s">
        <v>8</v>
      </c>
      <c r="S4" t="s">
        <v>355</v>
      </c>
    </row>
    <row r="5" spans="1:19" x14ac:dyDescent="0.25">
      <c r="A5" t="s">
        <v>5</v>
      </c>
      <c r="B5" t="s">
        <v>3</v>
      </c>
      <c r="R5" t="s">
        <v>5</v>
      </c>
      <c r="S5" t="s">
        <v>382</v>
      </c>
    </row>
    <row r="6" spans="1:19" x14ac:dyDescent="0.25">
      <c r="A6" t="s">
        <v>6</v>
      </c>
      <c r="B6" t="str" cm="1">
        <f t="array" aca="1" ref="B6" ca="1">CELL("address",'Sample Data'!$D$1)</f>
        <v>'[Excel Chart Macro.xlsm]Sample Data'!$D$1</v>
      </c>
      <c r="R6" t="s">
        <v>6</v>
      </c>
      <c r="S6" t="str" cm="1">
        <f t="array" aca="1" ref="S6" ca="1">CELL("address",'Sample Data'!$G$1)</f>
        <v>'[Excel Chart Macro.xlsm]Sample Data'!$G$1</v>
      </c>
    </row>
    <row r="7" spans="1:19" x14ac:dyDescent="0.25">
      <c r="A7" t="s">
        <v>7</v>
      </c>
      <c r="B7" t="str" cm="1">
        <f t="array" aca="1" ref="B7" ca="1">CELL("address",E3)</f>
        <v>$E$3</v>
      </c>
      <c r="R7" t="s">
        <v>7</v>
      </c>
      <c r="S7" t="str" cm="1">
        <f t="array" aca="1" ref="S7" ca="1">CELL("address",V3)</f>
        <v>$V$3</v>
      </c>
    </row>
    <row r="8" spans="1:19" x14ac:dyDescent="0.25">
      <c r="A8" t="s">
        <v>35</v>
      </c>
      <c r="B8" t="s">
        <v>36</v>
      </c>
      <c r="R8" t="s">
        <v>9</v>
      </c>
      <c r="S8" t="str">
        <f>"Pie Chart with Point Template " &amp; S10</f>
        <v>Pie Chart with Point Template Default 1</v>
      </c>
    </row>
    <row r="9" spans="1:19" x14ac:dyDescent="0.25">
      <c r="A9" t="s">
        <v>9</v>
      </c>
      <c r="B9" t="s">
        <v>366</v>
      </c>
      <c r="R9" t="s">
        <v>26</v>
      </c>
      <c r="S9" t="s">
        <v>29</v>
      </c>
    </row>
    <row r="10" spans="1:19" ht="21" x14ac:dyDescent="0.35">
      <c r="A10" t="s">
        <v>32</v>
      </c>
      <c r="B10" s="4" t="s">
        <v>351</v>
      </c>
      <c r="R10" t="s">
        <v>262</v>
      </c>
      <c r="S10" t="s">
        <v>45</v>
      </c>
    </row>
    <row r="11" spans="1:19" x14ac:dyDescent="0.25">
      <c r="A11" t="s">
        <v>26</v>
      </c>
      <c r="B11" t="s">
        <v>29</v>
      </c>
      <c r="R11" t="s">
        <v>369</v>
      </c>
      <c r="S11" t="s">
        <v>372</v>
      </c>
    </row>
    <row r="12" spans="1:19" x14ac:dyDescent="0.25">
      <c r="A12" t="s">
        <v>40</v>
      </c>
      <c r="B12" t="s">
        <v>102</v>
      </c>
    </row>
    <row r="13" spans="1:19" x14ac:dyDescent="0.25">
      <c r="A13" t="s">
        <v>52</v>
      </c>
      <c r="B13" t="s">
        <v>45</v>
      </c>
    </row>
    <row r="14" spans="1:19" x14ac:dyDescent="0.25">
      <c r="A14" t="s">
        <v>53</v>
      </c>
      <c r="B14" t="s">
        <v>103</v>
      </c>
    </row>
    <row r="15" spans="1:19" x14ac:dyDescent="0.25">
      <c r="A15" t="s">
        <v>65</v>
      </c>
      <c r="B15">
        <v>2</v>
      </c>
    </row>
    <row r="16" spans="1:19" x14ac:dyDescent="0.25">
      <c r="A16" t="s">
        <v>380</v>
      </c>
      <c r="B16">
        <v>2</v>
      </c>
    </row>
    <row r="17" spans="1:19" x14ac:dyDescent="0.25">
      <c r="A17" t="s">
        <v>90</v>
      </c>
      <c r="B17">
        <v>100</v>
      </c>
    </row>
    <row r="18" spans="1:19" x14ac:dyDescent="0.25">
      <c r="A18" t="s">
        <v>92</v>
      </c>
      <c r="B18">
        <v>0</v>
      </c>
    </row>
    <row r="19" spans="1:19" x14ac:dyDescent="0.25">
      <c r="A19" t="s">
        <v>118</v>
      </c>
      <c r="B19" s="38" t="s">
        <v>117</v>
      </c>
    </row>
    <row r="20" spans="1:19" x14ac:dyDescent="0.25">
      <c r="A20" t="s">
        <v>119</v>
      </c>
      <c r="B20" s="38" t="s">
        <v>117</v>
      </c>
    </row>
    <row r="21" spans="1:19" x14ac:dyDescent="0.25">
      <c r="A21" t="s">
        <v>120</v>
      </c>
      <c r="B21" s="38" t="s">
        <v>117</v>
      </c>
    </row>
    <row r="24" spans="1:19" x14ac:dyDescent="0.25">
      <c r="R24" t="s">
        <v>4</v>
      </c>
    </row>
    <row r="25" spans="1:19" x14ac:dyDescent="0.25">
      <c r="R25" t="s">
        <v>8</v>
      </c>
      <c r="S25" t="s">
        <v>356</v>
      </c>
    </row>
    <row r="26" spans="1:19" x14ac:dyDescent="0.25">
      <c r="R26" t="s">
        <v>5</v>
      </c>
      <c r="S26" t="s">
        <v>382</v>
      </c>
    </row>
    <row r="27" spans="1:19" x14ac:dyDescent="0.25">
      <c r="A27" t="s">
        <v>4</v>
      </c>
      <c r="R27" t="s">
        <v>6</v>
      </c>
      <c r="S27" t="str" cm="1">
        <f t="array" aca="1" ref="S27" ca="1">CELL("address",'Sample Data'!$G$1)</f>
        <v>'[Excel Chart Macro.xlsm]Sample Data'!$G$1</v>
      </c>
    </row>
    <row r="28" spans="1:19" x14ac:dyDescent="0.25">
      <c r="A28" t="s">
        <v>8</v>
      </c>
      <c r="B28" t="s">
        <v>354</v>
      </c>
      <c r="R28" t="s">
        <v>7</v>
      </c>
      <c r="S28" t="str" cm="1">
        <f t="array" aca="1" ref="S28" ca="1">CELL("address",V24)</f>
        <v>$V$24</v>
      </c>
    </row>
    <row r="29" spans="1:19" x14ac:dyDescent="0.25">
      <c r="A29" t="s">
        <v>5</v>
      </c>
      <c r="B29" t="s">
        <v>3</v>
      </c>
      <c r="R29" t="s">
        <v>35</v>
      </c>
      <c r="S29" t="s">
        <v>352</v>
      </c>
    </row>
    <row r="30" spans="1:19" x14ac:dyDescent="0.25">
      <c r="A30" t="s">
        <v>6</v>
      </c>
      <c r="B30" t="str" cm="1">
        <f t="array" aca="1" ref="B30" ca="1">CELL("address",'Sample Data'!$D$1)</f>
        <v>'[Excel Chart Macro.xlsm]Sample Data'!$D$1</v>
      </c>
      <c r="R30" t="s">
        <v>9</v>
      </c>
      <c r="S30" t="str">
        <f>"3D Pie Chart with Point Template " &amp; S32</f>
        <v>3D Pie Chart with Point Template Default 2</v>
      </c>
    </row>
    <row r="31" spans="1:19" x14ac:dyDescent="0.25">
      <c r="A31" t="s">
        <v>7</v>
      </c>
      <c r="B31" t="str" cm="1">
        <f t="array" aca="1" ref="B31" ca="1">CELL("address",E27)</f>
        <v>$E$27</v>
      </c>
      <c r="R31" t="s">
        <v>26</v>
      </c>
      <c r="S31" t="s">
        <v>29</v>
      </c>
    </row>
    <row r="32" spans="1:19" x14ac:dyDescent="0.25">
      <c r="A32" t="s">
        <v>35</v>
      </c>
      <c r="B32" t="s">
        <v>36</v>
      </c>
      <c r="R32" t="s">
        <v>262</v>
      </c>
      <c r="S32" t="s">
        <v>46</v>
      </c>
    </row>
    <row r="33" spans="1:19" x14ac:dyDescent="0.25">
      <c r="A33" t="s">
        <v>9</v>
      </c>
      <c r="B33" t="s">
        <v>367</v>
      </c>
      <c r="R33" t="s">
        <v>357</v>
      </c>
      <c r="S33">
        <v>10</v>
      </c>
    </row>
    <row r="34" spans="1:19" x14ac:dyDescent="0.25">
      <c r="A34" t="s">
        <v>26</v>
      </c>
      <c r="B34" t="s">
        <v>29</v>
      </c>
      <c r="R34" t="s">
        <v>360</v>
      </c>
      <c r="S34">
        <v>90</v>
      </c>
    </row>
    <row r="35" spans="1:19" x14ac:dyDescent="0.25">
      <c r="A35" t="s">
        <v>40</v>
      </c>
      <c r="B35" t="s">
        <v>104</v>
      </c>
      <c r="R35" t="s">
        <v>369</v>
      </c>
      <c r="S35" t="s">
        <v>373</v>
      </c>
    </row>
    <row r="36" spans="1:19" x14ac:dyDescent="0.25">
      <c r="A36" t="s">
        <v>52</v>
      </c>
      <c r="B36" t="s">
        <v>46</v>
      </c>
    </row>
    <row r="37" spans="1:19" x14ac:dyDescent="0.25">
      <c r="A37" t="s">
        <v>53</v>
      </c>
      <c r="B37" t="s">
        <v>381</v>
      </c>
    </row>
    <row r="38" spans="1:19" x14ac:dyDescent="0.25">
      <c r="A38" t="s">
        <v>65</v>
      </c>
      <c r="B38">
        <v>2</v>
      </c>
    </row>
    <row r="39" spans="1:19" x14ac:dyDescent="0.25">
      <c r="A39" t="s">
        <v>380</v>
      </c>
      <c r="B39">
        <v>2</v>
      </c>
    </row>
    <row r="40" spans="1:19" x14ac:dyDescent="0.25">
      <c r="A40" t="s">
        <v>90</v>
      </c>
      <c r="B40">
        <v>10</v>
      </c>
    </row>
    <row r="41" spans="1:19" x14ac:dyDescent="0.25">
      <c r="A41" t="s">
        <v>92</v>
      </c>
      <c r="B41">
        <v>0</v>
      </c>
    </row>
    <row r="42" spans="1:19" x14ac:dyDescent="0.25">
      <c r="A42" t="s">
        <v>118</v>
      </c>
      <c r="B42" s="38" t="s">
        <v>117</v>
      </c>
    </row>
    <row r="43" spans="1:19" x14ac:dyDescent="0.25">
      <c r="A43" t="s">
        <v>119</v>
      </c>
      <c r="B43" s="38" t="s">
        <v>117</v>
      </c>
    </row>
    <row r="44" spans="1:19" x14ac:dyDescent="0.25">
      <c r="A44" t="s">
        <v>120</v>
      </c>
      <c r="B44" s="38" t="s">
        <v>117</v>
      </c>
    </row>
    <row r="45" spans="1:19" x14ac:dyDescent="0.25">
      <c r="A45" t="s">
        <v>350</v>
      </c>
      <c r="B45" t="s">
        <v>46</v>
      </c>
      <c r="R45" t="s">
        <v>4</v>
      </c>
    </row>
    <row r="46" spans="1:19" x14ac:dyDescent="0.25">
      <c r="A46" t="s">
        <v>350</v>
      </c>
      <c r="B46" t="s">
        <v>349</v>
      </c>
      <c r="R46" t="s">
        <v>8</v>
      </c>
      <c r="S46" t="s">
        <v>365</v>
      </c>
    </row>
    <row r="47" spans="1:19" x14ac:dyDescent="0.25">
      <c r="R47" t="s">
        <v>5</v>
      </c>
      <c r="S47" t="s">
        <v>382</v>
      </c>
    </row>
    <row r="48" spans="1:19" x14ac:dyDescent="0.25">
      <c r="R48" t="s">
        <v>6</v>
      </c>
      <c r="S48" t="str" cm="1">
        <f t="array" aca="1" ref="S48" ca="1">CELL("address",'Sample Data'!$G$1)</f>
        <v>'[Excel Chart Macro.xlsm]Sample Data'!$G$1</v>
      </c>
    </row>
    <row r="49" spans="18:19" x14ac:dyDescent="0.25">
      <c r="R49" t="s">
        <v>7</v>
      </c>
      <c r="S49" t="str" cm="1">
        <f t="array" aca="1" ref="S49" ca="1">CELL("address",V45)</f>
        <v>$V$45</v>
      </c>
    </row>
    <row r="50" spans="18:19" x14ac:dyDescent="0.25">
      <c r="R50" t="s">
        <v>35</v>
      </c>
      <c r="S50" t="s">
        <v>365</v>
      </c>
    </row>
    <row r="51" spans="18:19" x14ac:dyDescent="0.25">
      <c r="R51" t="s">
        <v>9</v>
      </c>
      <c r="S51" t="str">
        <f>"Doughnut Chart with Point Template " &amp; S53</f>
        <v>Doughnut Chart with Point Template Default 1</v>
      </c>
    </row>
    <row r="52" spans="18:19" x14ac:dyDescent="0.25">
      <c r="R52" t="s">
        <v>26</v>
      </c>
      <c r="S52" t="s">
        <v>29</v>
      </c>
    </row>
    <row r="53" spans="18:19" x14ac:dyDescent="0.25">
      <c r="R53" t="s">
        <v>262</v>
      </c>
      <c r="S53" t="s">
        <v>45</v>
      </c>
    </row>
    <row r="54" spans="18:19" x14ac:dyDescent="0.25">
      <c r="R54" t="s">
        <v>357</v>
      </c>
      <c r="S54">
        <v>5</v>
      </c>
    </row>
    <row r="55" spans="18:19" x14ac:dyDescent="0.25">
      <c r="R55" t="s">
        <v>369</v>
      </c>
      <c r="S55" t="s">
        <v>371</v>
      </c>
    </row>
    <row r="56" spans="18:19" x14ac:dyDescent="0.25">
      <c r="R56" t="s">
        <v>10</v>
      </c>
      <c r="S56" t="s">
        <v>384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FromWorksheet">
                <anchor moveWithCells="1" sizeWithCells="1">
                  <from>
                    <xdr:col>13</xdr:col>
                    <xdr:colOff>95250</xdr:colOff>
                    <xdr:row>0</xdr:row>
                    <xdr:rowOff>38100</xdr:rowOff>
                  </from>
                  <to>
                    <xdr:col>16</xdr:col>
                    <xdr:colOff>314325</xdr:colOff>
                    <xdr:row>1</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CreateFromSelected">
                <anchor moveWithCells="1" sizeWithCells="1">
                  <from>
                    <xdr:col>9</xdr:col>
                    <xdr:colOff>85725</xdr:colOff>
                    <xdr:row>0</xdr:row>
                    <xdr:rowOff>28575</xdr:rowOff>
                  </from>
                  <to>
                    <xdr:col>12</xdr:col>
                    <xdr:colOff>304800</xdr:colOff>
                    <xdr:row>1</xdr:row>
                    <xdr:rowOff>133350</xdr:rowOff>
                  </to>
                </anchor>
              </controlPr>
            </control>
          </mc:Choice>
        </mc:AlternateContent>
        <mc:AlternateContent xmlns:mc="http://schemas.openxmlformats.org/markup-compatibility/2006">
          <mc:Choice Requires="x14">
            <control shapeId="1027" r:id="rId6" name="Button 3">
              <controlPr defaultSize="0" print="0" autoFill="0" autoPict="0" macro="[0]!CreateFromSelected">
                <anchor moveWithCells="1" sizeWithCells="1">
                  <from>
                    <xdr:col>17</xdr:col>
                    <xdr:colOff>85725</xdr:colOff>
                    <xdr:row>0</xdr:row>
                    <xdr:rowOff>28575</xdr:rowOff>
                  </from>
                  <to>
                    <xdr:col>18</xdr:col>
                    <xdr:colOff>647700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18D26-5704-4FB4-9429-84E32CE0A0A5}">
  <sheetPr codeName="Sheet1"/>
  <dimension ref="A1:H39"/>
  <sheetViews>
    <sheetView workbookViewId="0"/>
  </sheetViews>
  <sheetFormatPr defaultRowHeight="15" x14ac:dyDescent="0.25"/>
  <cols>
    <col min="1" max="1" width="10.7109375" bestFit="1" customWidth="1"/>
    <col min="2" max="2" width="14" bestFit="1" customWidth="1"/>
    <col min="3" max="3" width="16" bestFit="1" customWidth="1"/>
    <col min="4" max="4" width="18.140625" bestFit="1" customWidth="1"/>
    <col min="7" max="7" width="11" bestFit="1" customWidth="1"/>
    <col min="9" max="9" width="15.28515625" bestFit="1" customWidth="1"/>
  </cols>
  <sheetData>
    <row r="1" spans="1:8" x14ac:dyDescent="0.25">
      <c r="A1" t="s">
        <v>0</v>
      </c>
      <c r="B1" t="s">
        <v>378</v>
      </c>
      <c r="C1" t="s">
        <v>377</v>
      </c>
      <c r="D1" t="s">
        <v>379</v>
      </c>
      <c r="G1" t="s">
        <v>247</v>
      </c>
      <c r="H1" t="s">
        <v>248</v>
      </c>
    </row>
    <row r="2" spans="1:8" x14ac:dyDescent="0.25">
      <c r="A2" s="37">
        <v>45292</v>
      </c>
      <c r="B2">
        <v>58</v>
      </c>
      <c r="C2">
        <v>12219</v>
      </c>
      <c r="D2">
        <v>41</v>
      </c>
      <c r="E2" s="2"/>
      <c r="G2" t="s">
        <v>249</v>
      </c>
      <c r="H2">
        <v>35</v>
      </c>
    </row>
    <row r="3" spans="1:8" x14ac:dyDescent="0.25">
      <c r="A3" s="37">
        <f>DATE(YEAR(A2),MONTH(A2)+1,1)</f>
        <v>45323</v>
      </c>
      <c r="B3">
        <v>57</v>
      </c>
      <c r="C3">
        <v>10128</v>
      </c>
      <c r="D3">
        <v>31</v>
      </c>
      <c r="E3" s="2"/>
      <c r="G3" t="s">
        <v>250</v>
      </c>
      <c r="H3">
        <v>54</v>
      </c>
    </row>
    <row r="4" spans="1:8" x14ac:dyDescent="0.25">
      <c r="A4" s="37">
        <f t="shared" ref="A4:A14" si="0">DATE(YEAR(A3),MONTH(A3)+1,1)</f>
        <v>45352</v>
      </c>
      <c r="B4">
        <v>58</v>
      </c>
      <c r="C4">
        <v>11786</v>
      </c>
      <c r="D4">
        <v>40</v>
      </c>
      <c r="E4" s="2"/>
      <c r="G4" t="s">
        <v>251</v>
      </c>
      <c r="H4">
        <v>27</v>
      </c>
    </row>
    <row r="5" spans="1:8" x14ac:dyDescent="0.25">
      <c r="A5" s="37">
        <f t="shared" si="0"/>
        <v>45383</v>
      </c>
      <c r="B5">
        <v>57</v>
      </c>
      <c r="C5">
        <v>11476</v>
      </c>
      <c r="D5">
        <v>46</v>
      </c>
      <c r="E5" s="2"/>
      <c r="G5" t="s">
        <v>252</v>
      </c>
      <c r="H5">
        <v>19</v>
      </c>
    </row>
    <row r="6" spans="1:8" x14ac:dyDescent="0.25">
      <c r="A6" s="37">
        <f t="shared" si="0"/>
        <v>45413</v>
      </c>
      <c r="B6">
        <v>56</v>
      </c>
      <c r="C6">
        <v>12500</v>
      </c>
      <c r="D6">
        <v>66</v>
      </c>
      <c r="E6" s="2"/>
      <c r="G6" t="s">
        <v>253</v>
      </c>
      <c r="H6">
        <v>31</v>
      </c>
    </row>
    <row r="7" spans="1:8" x14ac:dyDescent="0.25">
      <c r="A7" s="37">
        <f t="shared" si="0"/>
        <v>45444</v>
      </c>
      <c r="B7">
        <v>58</v>
      </c>
      <c r="C7">
        <v>12450</v>
      </c>
      <c r="D7">
        <v>65</v>
      </c>
      <c r="E7" s="2"/>
      <c r="G7" t="s">
        <v>298</v>
      </c>
      <c r="H7">
        <v>10</v>
      </c>
    </row>
    <row r="8" spans="1:8" x14ac:dyDescent="0.25">
      <c r="A8" s="37">
        <f t="shared" si="0"/>
        <v>45474</v>
      </c>
      <c r="B8">
        <v>58</v>
      </c>
      <c r="C8">
        <v>13098</v>
      </c>
      <c r="D8">
        <v>66</v>
      </c>
      <c r="E8" s="2"/>
    </row>
    <row r="9" spans="1:8" x14ac:dyDescent="0.25">
      <c r="A9" s="37">
        <f t="shared" si="0"/>
        <v>45505</v>
      </c>
      <c r="B9">
        <v>60</v>
      </c>
      <c r="C9">
        <v>12257</v>
      </c>
      <c r="D9">
        <v>52</v>
      </c>
      <c r="E9" s="2"/>
    </row>
    <row r="10" spans="1:8" x14ac:dyDescent="0.25">
      <c r="A10" s="37">
        <f t="shared" si="0"/>
        <v>45536</v>
      </c>
      <c r="B10">
        <v>59</v>
      </c>
      <c r="C10">
        <v>12485</v>
      </c>
      <c r="D10">
        <v>56</v>
      </c>
      <c r="E10" s="2"/>
    </row>
    <row r="11" spans="1:8" x14ac:dyDescent="0.25">
      <c r="A11" s="37">
        <f t="shared" si="0"/>
        <v>45566</v>
      </c>
      <c r="B11">
        <v>58</v>
      </c>
      <c r="C11">
        <v>11744</v>
      </c>
      <c r="D11">
        <v>48</v>
      </c>
      <c r="E11" s="2"/>
    </row>
    <row r="12" spans="1:8" x14ac:dyDescent="0.25">
      <c r="A12" s="37">
        <f t="shared" si="0"/>
        <v>45597</v>
      </c>
      <c r="B12">
        <v>56</v>
      </c>
      <c r="C12">
        <v>13279</v>
      </c>
      <c r="D12">
        <v>71</v>
      </c>
      <c r="E12" s="2"/>
    </row>
    <row r="13" spans="1:8" x14ac:dyDescent="0.25">
      <c r="A13" s="37">
        <f t="shared" si="0"/>
        <v>45627</v>
      </c>
      <c r="B13">
        <v>54</v>
      </c>
      <c r="C13">
        <v>12309</v>
      </c>
      <c r="D13">
        <v>55</v>
      </c>
      <c r="E13" s="2"/>
    </row>
    <row r="14" spans="1:8" x14ac:dyDescent="0.25">
      <c r="A14" s="37">
        <f t="shared" si="0"/>
        <v>45658</v>
      </c>
      <c r="B14">
        <v>55</v>
      </c>
      <c r="C14">
        <v>13409</v>
      </c>
      <c r="D14">
        <v>59</v>
      </c>
      <c r="E14" s="2"/>
    </row>
    <row r="15" spans="1:8" x14ac:dyDescent="0.25">
      <c r="A15" s="1"/>
      <c r="E15" s="2"/>
    </row>
    <row r="16" spans="1:8" x14ac:dyDescent="0.25">
      <c r="A16" s="1"/>
      <c r="E16" s="2"/>
    </row>
    <row r="17" spans="1:5" x14ac:dyDescent="0.25">
      <c r="A17" s="1"/>
      <c r="E17" s="2"/>
    </row>
    <row r="18" spans="1:5" x14ac:dyDescent="0.25">
      <c r="A18" s="1"/>
      <c r="E18" s="2"/>
    </row>
    <row r="19" spans="1:5" x14ac:dyDescent="0.25">
      <c r="A19" s="1"/>
      <c r="E19" s="2"/>
    </row>
    <row r="20" spans="1:5" x14ac:dyDescent="0.25">
      <c r="A20" s="1"/>
      <c r="E20" s="2"/>
    </row>
    <row r="21" spans="1:5" x14ac:dyDescent="0.25">
      <c r="A21" s="1"/>
      <c r="E21" s="2"/>
    </row>
    <row r="22" spans="1:5" x14ac:dyDescent="0.25">
      <c r="A22" s="1"/>
      <c r="E22" s="2"/>
    </row>
    <row r="23" spans="1:5" x14ac:dyDescent="0.25">
      <c r="A23" s="1"/>
      <c r="E23" s="2"/>
    </row>
    <row r="24" spans="1:5" x14ac:dyDescent="0.25">
      <c r="A24" s="1"/>
      <c r="E24" s="2"/>
    </row>
    <row r="25" spans="1:5" x14ac:dyDescent="0.25">
      <c r="A25" s="1"/>
      <c r="E25" s="2"/>
    </row>
    <row r="26" spans="1:5" x14ac:dyDescent="0.25">
      <c r="A26" s="1"/>
      <c r="E26" s="2"/>
    </row>
    <row r="27" spans="1:5" x14ac:dyDescent="0.25">
      <c r="A27" s="1"/>
      <c r="E27" s="2"/>
    </row>
    <row r="28" spans="1:5" x14ac:dyDescent="0.25">
      <c r="A28" s="1"/>
      <c r="E28" s="2"/>
    </row>
    <row r="29" spans="1:5" x14ac:dyDescent="0.25">
      <c r="A29" s="1"/>
      <c r="E29" s="2"/>
    </row>
    <row r="30" spans="1:5" x14ac:dyDescent="0.25">
      <c r="A30" s="1"/>
      <c r="E30" s="2"/>
    </row>
    <row r="31" spans="1:5" x14ac:dyDescent="0.25">
      <c r="A31" s="1"/>
      <c r="E31" s="2"/>
    </row>
    <row r="32" spans="1:5" x14ac:dyDescent="0.25">
      <c r="A32" s="1"/>
      <c r="E32" s="2"/>
    </row>
    <row r="39" spans="1:1" x14ac:dyDescent="0.25">
      <c r="A39">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8EFC6-60B3-416A-9700-FCC7A493531E}">
  <sheetPr codeName="Sheet2">
    <tabColor theme="7" tint="0.79998168889431442"/>
  </sheetPr>
  <dimension ref="A1:E12"/>
  <sheetViews>
    <sheetView workbookViewId="0">
      <pane ySplit="1" topLeftCell="A2" activePane="bottomLeft" state="frozen"/>
      <selection activeCell="I32" sqref="I32"/>
      <selection pane="bottomLeft" activeCell="A2" sqref="A2"/>
    </sheetView>
  </sheetViews>
  <sheetFormatPr defaultRowHeight="15" x14ac:dyDescent="0.25"/>
  <cols>
    <col min="1" max="1" width="23.85546875" bestFit="1" customWidth="1"/>
    <col min="2" max="2" width="13" bestFit="1" customWidth="1"/>
    <col min="4" max="4" width="23.85546875" bestFit="1" customWidth="1"/>
    <col min="5" max="5" width="13" bestFit="1" customWidth="1"/>
  </cols>
  <sheetData>
    <row r="1" spans="1:5" x14ac:dyDescent="0.25">
      <c r="A1" t="s">
        <v>3</v>
      </c>
      <c r="D1" t="s">
        <v>382</v>
      </c>
    </row>
    <row r="2" spans="1:5" x14ac:dyDescent="0.25">
      <c r="A2" t="s">
        <v>1</v>
      </c>
      <c r="B2">
        <v>600</v>
      </c>
      <c r="D2" t="s">
        <v>1</v>
      </c>
      <c r="E2">
        <v>350</v>
      </c>
    </row>
    <row r="3" spans="1:5" x14ac:dyDescent="0.25">
      <c r="A3" t="s">
        <v>2</v>
      </c>
      <c r="B3">
        <v>350</v>
      </c>
      <c r="D3" t="s">
        <v>2</v>
      </c>
      <c r="E3">
        <v>300</v>
      </c>
    </row>
    <row r="4" spans="1:5" x14ac:dyDescent="0.25">
      <c r="A4" t="s">
        <v>97</v>
      </c>
      <c r="B4" s="11"/>
      <c r="D4" t="s">
        <v>97</v>
      </c>
      <c r="E4" s="11"/>
    </row>
    <row r="5" spans="1:5" x14ac:dyDescent="0.25">
      <c r="A5" t="s">
        <v>99</v>
      </c>
      <c r="B5">
        <v>0</v>
      </c>
      <c r="D5" t="s">
        <v>99</v>
      </c>
      <c r="E5">
        <v>0</v>
      </c>
    </row>
    <row r="6" spans="1:5" x14ac:dyDescent="0.25">
      <c r="A6" t="s">
        <v>106</v>
      </c>
      <c r="B6" s="15"/>
      <c r="D6" t="s">
        <v>106</v>
      </c>
      <c r="E6" s="15"/>
    </row>
    <row r="7" spans="1:5" x14ac:dyDescent="0.25">
      <c r="A7" t="s">
        <v>107</v>
      </c>
      <c r="B7">
        <v>2</v>
      </c>
      <c r="D7" t="s">
        <v>107</v>
      </c>
      <c r="E7">
        <v>2</v>
      </c>
    </row>
    <row r="8" spans="1:5" x14ac:dyDescent="0.25">
      <c r="A8" t="s">
        <v>108</v>
      </c>
      <c r="B8">
        <v>0</v>
      </c>
      <c r="D8" t="s">
        <v>108</v>
      </c>
      <c r="E8">
        <v>0</v>
      </c>
    </row>
    <row r="9" spans="1:5" ht="18.75" x14ac:dyDescent="0.3">
      <c r="A9" t="s">
        <v>32</v>
      </c>
      <c r="B9" s="31" t="s">
        <v>254</v>
      </c>
      <c r="D9" t="s">
        <v>32</v>
      </c>
      <c r="E9" s="31" t="s">
        <v>254</v>
      </c>
    </row>
    <row r="10" spans="1:5" x14ac:dyDescent="0.25">
      <c r="A10" t="s">
        <v>10</v>
      </c>
      <c r="B10" t="s">
        <v>37</v>
      </c>
      <c r="D10" t="s">
        <v>10</v>
      </c>
      <c r="E10" t="s">
        <v>37</v>
      </c>
    </row>
    <row r="11" spans="1:5" x14ac:dyDescent="0.25">
      <c r="A11" t="s">
        <v>34</v>
      </c>
      <c r="B11" s="6" t="s">
        <v>51</v>
      </c>
      <c r="D11" t="s">
        <v>34</v>
      </c>
      <c r="E11" s="6" t="s">
        <v>51</v>
      </c>
    </row>
    <row r="12" spans="1:5" x14ac:dyDescent="0.25">
      <c r="D12" t="s">
        <v>35</v>
      </c>
      <c r="E12" t="s">
        <v>250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A5A09-059F-4CAB-8FEC-AD2EB07DD80F}">
  <sheetPr codeName="Sheet5">
    <tabColor theme="7" tint="0.79998168889431442"/>
  </sheetPr>
  <dimension ref="A1:AC5"/>
  <sheetViews>
    <sheetView workbookViewId="0">
      <selection activeCell="F13" sqref="F13"/>
    </sheetView>
  </sheetViews>
  <sheetFormatPr defaultRowHeight="15" x14ac:dyDescent="0.25"/>
  <cols>
    <col min="1" max="1" width="15.85546875" customWidth="1"/>
    <col min="4" max="4" width="15.85546875" customWidth="1"/>
    <col min="7" max="7" width="15.85546875" customWidth="1"/>
    <col min="10" max="10" width="15.85546875" customWidth="1"/>
    <col min="13" max="13" width="15.85546875" customWidth="1"/>
    <col min="16" max="16" width="15.85546875" customWidth="1"/>
    <col min="19" max="19" width="17" bestFit="1" customWidth="1"/>
  </cols>
  <sheetData>
    <row r="1" spans="1:29" x14ac:dyDescent="0.25">
      <c r="A1" t="s">
        <v>45</v>
      </c>
      <c r="D1" t="s">
        <v>46</v>
      </c>
      <c r="G1" t="s">
        <v>47</v>
      </c>
      <c r="J1" t="s">
        <v>48</v>
      </c>
      <c r="M1" t="s">
        <v>49</v>
      </c>
      <c r="P1" t="s">
        <v>50</v>
      </c>
      <c r="S1" t="s">
        <v>102</v>
      </c>
      <c r="V1" t="s">
        <v>103</v>
      </c>
      <c r="Y1" t="s">
        <v>104</v>
      </c>
      <c r="AB1" t="s">
        <v>381</v>
      </c>
    </row>
    <row r="2" spans="1:29" x14ac:dyDescent="0.25">
      <c r="A2" t="s">
        <v>56</v>
      </c>
      <c r="B2" s="32"/>
      <c r="D2" t="s">
        <v>56</v>
      </c>
      <c r="E2" s="33"/>
      <c r="G2" t="s">
        <v>56</v>
      </c>
      <c r="H2" s="34"/>
      <c r="J2" t="s">
        <v>56</v>
      </c>
      <c r="K2" s="27"/>
      <c r="M2" t="s">
        <v>56</v>
      </c>
      <c r="N2" s="35"/>
      <c r="P2" t="s">
        <v>56</v>
      </c>
      <c r="Q2" s="36"/>
      <c r="S2" t="s">
        <v>73</v>
      </c>
      <c r="T2" s="12"/>
      <c r="V2" t="s">
        <v>73</v>
      </c>
      <c r="W2" s="13"/>
      <c r="Y2" t="s">
        <v>73</v>
      </c>
      <c r="Z2" s="14"/>
      <c r="AB2" t="s">
        <v>73</v>
      </c>
      <c r="AC2" s="28"/>
    </row>
    <row r="3" spans="1:29" x14ac:dyDescent="0.25">
      <c r="A3" t="s">
        <v>62</v>
      </c>
      <c r="B3" t="s">
        <v>63</v>
      </c>
      <c r="D3" t="s">
        <v>62</v>
      </c>
      <c r="E3" t="s">
        <v>63</v>
      </c>
      <c r="G3" t="s">
        <v>62</v>
      </c>
      <c r="H3" t="s">
        <v>63</v>
      </c>
      <c r="J3" t="s">
        <v>62</v>
      </c>
      <c r="K3" t="s">
        <v>63</v>
      </c>
      <c r="M3" t="s">
        <v>62</v>
      </c>
      <c r="N3" t="s">
        <v>63</v>
      </c>
      <c r="P3" t="s">
        <v>62</v>
      </c>
      <c r="Q3" t="s">
        <v>63</v>
      </c>
      <c r="S3" t="s">
        <v>85</v>
      </c>
      <c r="T3">
        <v>0.1</v>
      </c>
      <c r="V3" t="s">
        <v>85</v>
      </c>
      <c r="W3">
        <v>0.1</v>
      </c>
      <c r="Y3" t="s">
        <v>85</v>
      </c>
      <c r="Z3">
        <v>0.1</v>
      </c>
      <c r="AB3" t="s">
        <v>85</v>
      </c>
      <c r="AC3">
        <v>0.1</v>
      </c>
    </row>
    <row r="4" spans="1:29" x14ac:dyDescent="0.25">
      <c r="A4" t="s">
        <v>73</v>
      </c>
      <c r="B4" s="9"/>
      <c r="D4" t="s">
        <v>73</v>
      </c>
      <c r="E4" s="9"/>
      <c r="G4" t="s">
        <v>73</v>
      </c>
      <c r="H4" s="9"/>
      <c r="J4" t="s">
        <v>73</v>
      </c>
      <c r="K4" s="9"/>
      <c r="M4" t="s">
        <v>73</v>
      </c>
      <c r="N4" s="9"/>
      <c r="P4" t="s">
        <v>73</v>
      </c>
      <c r="Q4" s="9"/>
      <c r="S4" t="s">
        <v>87</v>
      </c>
      <c r="T4">
        <v>5</v>
      </c>
      <c r="V4" t="s">
        <v>87</v>
      </c>
      <c r="W4">
        <v>5</v>
      </c>
      <c r="Y4" t="s">
        <v>87</v>
      </c>
      <c r="Z4">
        <v>5</v>
      </c>
      <c r="AB4" t="s">
        <v>87</v>
      </c>
      <c r="AC4">
        <v>5</v>
      </c>
    </row>
    <row r="5" spans="1:29" x14ac:dyDescent="0.25">
      <c r="A5" t="s">
        <v>87</v>
      </c>
      <c r="B5">
        <v>0.75</v>
      </c>
      <c r="D5" t="s">
        <v>87</v>
      </c>
      <c r="E5">
        <v>0.75</v>
      </c>
      <c r="G5" t="s">
        <v>87</v>
      </c>
      <c r="H5">
        <v>0.75</v>
      </c>
      <c r="J5" t="s">
        <v>87</v>
      </c>
      <c r="K5">
        <v>0.75</v>
      </c>
      <c r="M5" t="s">
        <v>87</v>
      </c>
      <c r="N5">
        <v>0.75</v>
      </c>
      <c r="P5" t="s">
        <v>87</v>
      </c>
      <c r="Q5">
        <v>0.75</v>
      </c>
      <c r="S5" t="s">
        <v>35</v>
      </c>
      <c r="T5" t="s">
        <v>38</v>
      </c>
      <c r="V5" t="s">
        <v>35</v>
      </c>
      <c r="W5" t="s">
        <v>38</v>
      </c>
      <c r="Y5" t="s">
        <v>35</v>
      </c>
      <c r="Z5" t="s">
        <v>38</v>
      </c>
      <c r="AB5" t="s">
        <v>35</v>
      </c>
      <c r="AC5" t="s">
        <v>38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00DC-8A3E-4611-9C4B-01EB4F23B139}">
  <sheetPr codeName="Sheet6">
    <tabColor theme="7" tint="0.79998168889431442"/>
  </sheetPr>
  <dimension ref="A1:S8"/>
  <sheetViews>
    <sheetView workbookViewId="0"/>
  </sheetViews>
  <sheetFormatPr defaultRowHeight="15" x14ac:dyDescent="0.25"/>
  <cols>
    <col min="2" max="2" width="10" bestFit="1" customWidth="1"/>
    <col min="3" max="3" width="11" bestFit="1" customWidth="1"/>
    <col min="4" max="4" width="16" bestFit="1" customWidth="1"/>
    <col min="5" max="5" width="10.5703125" bestFit="1" customWidth="1"/>
    <col min="8" max="8" width="10" bestFit="1" customWidth="1"/>
    <col min="9" max="9" width="11" bestFit="1" customWidth="1"/>
    <col min="10" max="10" width="10.5703125" bestFit="1" customWidth="1"/>
  </cols>
  <sheetData>
    <row r="1" spans="1:19" x14ac:dyDescent="0.25">
      <c r="A1" t="s">
        <v>45</v>
      </c>
      <c r="G1" t="s">
        <v>46</v>
      </c>
      <c r="L1" t="s">
        <v>348</v>
      </c>
      <c r="Q1" t="s">
        <v>349</v>
      </c>
    </row>
    <row r="2" spans="1:19" x14ac:dyDescent="0.25">
      <c r="A2" t="s">
        <v>258</v>
      </c>
      <c r="B2" t="s">
        <v>56</v>
      </c>
      <c r="C2" t="s">
        <v>73</v>
      </c>
      <c r="D2" t="s">
        <v>84</v>
      </c>
      <c r="E2" t="s">
        <v>87</v>
      </c>
      <c r="G2" t="s">
        <v>258</v>
      </c>
      <c r="H2" t="s">
        <v>56</v>
      </c>
      <c r="I2" t="s">
        <v>73</v>
      </c>
      <c r="J2" t="s">
        <v>87</v>
      </c>
      <c r="L2" t="s">
        <v>258</v>
      </c>
      <c r="M2" t="s">
        <v>56</v>
      </c>
      <c r="N2" t="s">
        <v>73</v>
      </c>
      <c r="O2" t="s">
        <v>84</v>
      </c>
      <c r="Q2" t="s">
        <v>258</v>
      </c>
      <c r="R2" t="s">
        <v>56</v>
      </c>
      <c r="S2" t="s">
        <v>84</v>
      </c>
    </row>
    <row r="3" spans="1:19" x14ac:dyDescent="0.25">
      <c r="A3">
        <v>1</v>
      </c>
      <c r="B3" s="19"/>
      <c r="C3" s="19"/>
      <c r="D3">
        <v>0.5</v>
      </c>
      <c r="E3">
        <v>2</v>
      </c>
      <c r="G3">
        <v>1</v>
      </c>
      <c r="H3" s="5"/>
      <c r="I3" s="26"/>
      <c r="J3">
        <v>0.75</v>
      </c>
      <c r="L3">
        <v>-1</v>
      </c>
      <c r="M3" s="25"/>
      <c r="N3" s="25"/>
      <c r="O3">
        <v>0</v>
      </c>
      <c r="Q3">
        <v>1</v>
      </c>
      <c r="R3" s="25"/>
      <c r="S3">
        <v>0</v>
      </c>
    </row>
    <row r="4" spans="1:19" x14ac:dyDescent="0.25">
      <c r="A4">
        <v>2</v>
      </c>
      <c r="B4" s="20"/>
      <c r="C4" s="20"/>
      <c r="D4">
        <v>0.5</v>
      </c>
      <c r="E4">
        <v>2</v>
      </c>
      <c r="G4">
        <v>2</v>
      </c>
      <c r="H4" s="27"/>
      <c r="I4" s="26"/>
      <c r="J4">
        <v>0.75</v>
      </c>
      <c r="Q4">
        <v>-1</v>
      </c>
      <c r="R4" s="25"/>
      <c r="S4">
        <v>0</v>
      </c>
    </row>
    <row r="5" spans="1:19" x14ac:dyDescent="0.25">
      <c r="A5">
        <v>3</v>
      </c>
      <c r="B5" s="21"/>
      <c r="C5" s="21"/>
      <c r="D5">
        <v>0.5</v>
      </c>
      <c r="E5">
        <v>2</v>
      </c>
      <c r="G5">
        <v>3</v>
      </c>
      <c r="H5" s="22"/>
      <c r="I5" s="26"/>
      <c r="J5">
        <v>0.75</v>
      </c>
    </row>
    <row r="6" spans="1:19" x14ac:dyDescent="0.25">
      <c r="A6">
        <v>4</v>
      </c>
      <c r="B6" s="22"/>
      <c r="C6" s="22"/>
      <c r="D6">
        <v>0.5</v>
      </c>
      <c r="E6">
        <v>2</v>
      </c>
      <c r="G6">
        <v>4</v>
      </c>
      <c r="H6" s="28"/>
      <c r="I6" s="26"/>
      <c r="J6">
        <v>0.75</v>
      </c>
    </row>
    <row r="7" spans="1:19" x14ac:dyDescent="0.25">
      <c r="A7">
        <v>5</v>
      </c>
      <c r="B7" s="23"/>
      <c r="C7" s="23"/>
      <c r="D7">
        <v>0.5</v>
      </c>
      <c r="E7">
        <v>2</v>
      </c>
      <c r="G7">
        <v>5</v>
      </c>
      <c r="H7" s="29"/>
      <c r="I7" s="26"/>
      <c r="J7">
        <v>0.75</v>
      </c>
    </row>
    <row r="8" spans="1:19" x14ac:dyDescent="0.25">
      <c r="A8">
        <v>6</v>
      </c>
      <c r="B8" s="24"/>
      <c r="C8" s="24"/>
      <c r="D8">
        <v>0.5</v>
      </c>
      <c r="E8">
        <v>2</v>
      </c>
      <c r="G8">
        <v>6</v>
      </c>
      <c r="H8" s="30"/>
      <c r="I8" s="26"/>
      <c r="J8">
        <v>0.75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82A41-C276-4F4B-B48B-A2F6EDB4327C}">
  <sheetPr codeName="Sheet7">
    <tabColor theme="7" tint="0.79998168889431442"/>
  </sheetPr>
  <dimension ref="A1:C258"/>
  <sheetViews>
    <sheetView workbookViewId="0">
      <pane ySplit="1" topLeftCell="A2" activePane="bottomLeft" state="frozen"/>
      <selection activeCell="B8" sqref="B8"/>
      <selection pane="bottomLeft" activeCell="C2339" sqref="C2339"/>
    </sheetView>
  </sheetViews>
  <sheetFormatPr defaultRowHeight="15" x14ac:dyDescent="0.25"/>
  <sheetData>
    <row r="1" spans="1:3" x14ac:dyDescent="0.25">
      <c r="A1" t="s">
        <v>376</v>
      </c>
      <c r="B1" t="s">
        <v>137</v>
      </c>
      <c r="C1" t="s">
        <v>138</v>
      </c>
    </row>
    <row r="2" spans="1:3" x14ac:dyDescent="0.25">
      <c r="B2" t="s">
        <v>69</v>
      </c>
      <c r="C2" t="s">
        <v>399</v>
      </c>
    </row>
    <row r="3" spans="1:3" x14ac:dyDescent="0.25">
      <c r="A3" t="s">
        <v>400</v>
      </c>
      <c r="B3" t="s">
        <v>69</v>
      </c>
      <c r="C3" t="s">
        <v>189</v>
      </c>
    </row>
    <row r="4" spans="1:3" x14ac:dyDescent="0.25">
      <c r="A4" t="s">
        <v>355</v>
      </c>
      <c r="B4" t="s">
        <v>69</v>
      </c>
      <c r="C4" t="s">
        <v>181</v>
      </c>
    </row>
    <row r="5" spans="1:3" x14ac:dyDescent="0.25">
      <c r="A5" t="s">
        <v>355</v>
      </c>
      <c r="B5" t="s">
        <v>69</v>
      </c>
      <c r="C5" t="s">
        <v>401</v>
      </c>
    </row>
    <row r="6" spans="1:3" x14ac:dyDescent="0.25">
      <c r="A6" t="s">
        <v>355</v>
      </c>
      <c r="B6" t="s">
        <v>69</v>
      </c>
      <c r="C6" t="s">
        <v>402</v>
      </c>
    </row>
    <row r="7" spans="1:3" x14ac:dyDescent="0.25">
      <c r="A7" t="s">
        <v>355</v>
      </c>
      <c r="B7" t="s">
        <v>69</v>
      </c>
      <c r="C7" t="s">
        <v>182</v>
      </c>
    </row>
    <row r="8" spans="1:3" x14ac:dyDescent="0.25">
      <c r="A8" t="s">
        <v>355</v>
      </c>
      <c r="B8" t="s">
        <v>69</v>
      </c>
      <c r="C8" t="s">
        <v>183</v>
      </c>
    </row>
    <row r="9" spans="1:3" x14ac:dyDescent="0.25">
      <c r="A9" t="s">
        <v>355</v>
      </c>
      <c r="B9" t="s">
        <v>69</v>
      </c>
      <c r="C9" t="s">
        <v>184</v>
      </c>
    </row>
    <row r="10" spans="1:3" x14ac:dyDescent="0.25">
      <c r="A10" t="s">
        <v>355</v>
      </c>
      <c r="B10" t="s">
        <v>69</v>
      </c>
      <c r="C10" t="s">
        <v>185</v>
      </c>
    </row>
    <row r="11" spans="1:3" x14ac:dyDescent="0.25">
      <c r="A11" t="s">
        <v>355</v>
      </c>
      <c r="B11" t="s">
        <v>69</v>
      </c>
      <c r="C11" t="s">
        <v>186</v>
      </c>
    </row>
    <row r="12" spans="1:3" x14ac:dyDescent="0.25">
      <c r="A12" t="s">
        <v>355</v>
      </c>
      <c r="B12" t="s">
        <v>69</v>
      </c>
      <c r="C12" t="s">
        <v>187</v>
      </c>
    </row>
    <row r="13" spans="1:3" x14ac:dyDescent="0.25">
      <c r="A13" t="s">
        <v>355</v>
      </c>
      <c r="B13" t="s">
        <v>69</v>
      </c>
      <c r="C13" t="s">
        <v>188</v>
      </c>
    </row>
    <row r="14" spans="1:3" x14ac:dyDescent="0.25">
      <c r="A14" t="s">
        <v>355</v>
      </c>
      <c r="B14" t="s">
        <v>69</v>
      </c>
      <c r="C14" t="s">
        <v>194</v>
      </c>
    </row>
    <row r="15" spans="1:3" x14ac:dyDescent="0.25">
      <c r="A15" t="s">
        <v>355</v>
      </c>
      <c r="B15" t="s">
        <v>69</v>
      </c>
      <c r="C15" t="s">
        <v>403</v>
      </c>
    </row>
    <row r="16" spans="1:3" x14ac:dyDescent="0.25">
      <c r="A16" t="s">
        <v>355</v>
      </c>
      <c r="B16" t="s">
        <v>69</v>
      </c>
      <c r="C16" t="s">
        <v>195</v>
      </c>
    </row>
    <row r="17" spans="1:3" x14ac:dyDescent="0.25">
      <c r="A17" t="s">
        <v>355</v>
      </c>
      <c r="B17" t="s">
        <v>69</v>
      </c>
      <c r="C17" t="s">
        <v>196</v>
      </c>
    </row>
    <row r="18" spans="1:3" x14ac:dyDescent="0.25">
      <c r="A18" t="s">
        <v>355</v>
      </c>
      <c r="B18" t="s">
        <v>69</v>
      </c>
      <c r="C18" t="s">
        <v>404</v>
      </c>
    </row>
    <row r="19" spans="1:3" x14ac:dyDescent="0.25">
      <c r="A19" t="s">
        <v>355</v>
      </c>
      <c r="B19" t="s">
        <v>69</v>
      </c>
      <c r="C19" t="s">
        <v>192</v>
      </c>
    </row>
    <row r="20" spans="1:3" x14ac:dyDescent="0.25">
      <c r="A20" t="s">
        <v>355</v>
      </c>
      <c r="B20" t="s">
        <v>69</v>
      </c>
      <c r="C20" t="s">
        <v>190</v>
      </c>
    </row>
    <row r="21" spans="1:3" x14ac:dyDescent="0.25">
      <c r="A21" t="s">
        <v>355</v>
      </c>
      <c r="B21" t="s">
        <v>69</v>
      </c>
      <c r="C21" t="s">
        <v>191</v>
      </c>
    </row>
    <row r="22" spans="1:3" x14ac:dyDescent="0.25">
      <c r="A22" t="s">
        <v>355</v>
      </c>
      <c r="B22" t="s">
        <v>69</v>
      </c>
      <c r="C22" t="s">
        <v>193</v>
      </c>
    </row>
    <row r="23" spans="1:3" x14ac:dyDescent="0.25">
      <c r="A23" t="s">
        <v>355</v>
      </c>
      <c r="B23" t="s">
        <v>69</v>
      </c>
      <c r="C23" t="s">
        <v>197</v>
      </c>
    </row>
    <row r="24" spans="1:3" x14ac:dyDescent="0.25">
      <c r="A24" t="s">
        <v>355</v>
      </c>
      <c r="B24" t="s">
        <v>69</v>
      </c>
      <c r="C24" t="s">
        <v>405</v>
      </c>
    </row>
    <row r="25" spans="1:3" x14ac:dyDescent="0.25">
      <c r="A25" t="s">
        <v>355</v>
      </c>
      <c r="B25" t="s">
        <v>69</v>
      </c>
      <c r="C25" t="s">
        <v>406</v>
      </c>
    </row>
    <row r="26" spans="1:3" x14ac:dyDescent="0.25">
      <c r="A26" t="s">
        <v>355</v>
      </c>
      <c r="B26" t="s">
        <v>69</v>
      </c>
      <c r="C26" t="s">
        <v>407</v>
      </c>
    </row>
    <row r="27" spans="1:3" x14ac:dyDescent="0.25">
      <c r="A27" t="s">
        <v>355</v>
      </c>
      <c r="B27" t="s">
        <v>69</v>
      </c>
      <c r="C27" t="s">
        <v>408</v>
      </c>
    </row>
    <row r="28" spans="1:3" x14ac:dyDescent="0.25">
      <c r="A28" t="s">
        <v>355</v>
      </c>
      <c r="B28" t="s">
        <v>69</v>
      </c>
      <c r="C28" t="s">
        <v>409</v>
      </c>
    </row>
    <row r="29" spans="1:3" x14ac:dyDescent="0.25">
      <c r="A29" t="s">
        <v>355</v>
      </c>
      <c r="B29" t="s">
        <v>69</v>
      </c>
      <c r="C29" t="s">
        <v>410</v>
      </c>
    </row>
    <row r="30" spans="1:3" x14ac:dyDescent="0.25">
      <c r="A30" t="s">
        <v>355</v>
      </c>
      <c r="B30" t="s">
        <v>69</v>
      </c>
      <c r="C30" t="s">
        <v>411</v>
      </c>
    </row>
    <row r="31" spans="1:3" x14ac:dyDescent="0.25">
      <c r="A31" t="s">
        <v>355</v>
      </c>
      <c r="B31" t="s">
        <v>69</v>
      </c>
      <c r="C31" t="s">
        <v>412</v>
      </c>
    </row>
    <row r="32" spans="1:3" x14ac:dyDescent="0.25">
      <c r="A32" t="s">
        <v>355</v>
      </c>
      <c r="B32" t="s">
        <v>69</v>
      </c>
      <c r="C32" t="s">
        <v>413</v>
      </c>
    </row>
    <row r="33" spans="1:3" x14ac:dyDescent="0.25">
      <c r="A33" t="s">
        <v>355</v>
      </c>
      <c r="B33" t="s">
        <v>69</v>
      </c>
      <c r="C33" t="s">
        <v>414</v>
      </c>
    </row>
    <row r="34" spans="1:3" x14ac:dyDescent="0.25">
      <c r="A34" t="s">
        <v>355</v>
      </c>
      <c r="B34" t="s">
        <v>69</v>
      </c>
      <c r="C34" t="s">
        <v>415</v>
      </c>
    </row>
    <row r="35" spans="1:3" x14ac:dyDescent="0.25">
      <c r="A35" t="s">
        <v>355</v>
      </c>
      <c r="B35" t="s">
        <v>69</v>
      </c>
      <c r="C35" t="s">
        <v>416</v>
      </c>
    </row>
    <row r="36" spans="1:3" x14ac:dyDescent="0.25">
      <c r="A36" t="s">
        <v>355</v>
      </c>
      <c r="B36" t="s">
        <v>69</v>
      </c>
      <c r="C36" t="s">
        <v>417</v>
      </c>
    </row>
    <row r="37" spans="1:3" x14ac:dyDescent="0.25">
      <c r="A37" t="s">
        <v>355</v>
      </c>
      <c r="B37" t="s">
        <v>69</v>
      </c>
      <c r="C37" t="s">
        <v>418</v>
      </c>
    </row>
    <row r="38" spans="1:3" x14ac:dyDescent="0.25">
      <c r="A38" t="s">
        <v>355</v>
      </c>
      <c r="B38" t="s">
        <v>69</v>
      </c>
      <c r="C38" t="s">
        <v>419</v>
      </c>
    </row>
    <row r="39" spans="1:3" x14ac:dyDescent="0.25">
      <c r="A39" t="s">
        <v>355</v>
      </c>
      <c r="B39" t="s">
        <v>69</v>
      </c>
      <c r="C39" t="s">
        <v>420</v>
      </c>
    </row>
    <row r="40" spans="1:3" x14ac:dyDescent="0.25">
      <c r="A40" t="s">
        <v>355</v>
      </c>
      <c r="B40" t="s">
        <v>69</v>
      </c>
      <c r="C40" t="s">
        <v>421</v>
      </c>
    </row>
    <row r="41" spans="1:3" x14ac:dyDescent="0.25">
      <c r="A41" t="s">
        <v>355</v>
      </c>
      <c r="B41" t="s">
        <v>69</v>
      </c>
      <c r="C41" t="s">
        <v>422</v>
      </c>
    </row>
    <row r="42" spans="1:3" x14ac:dyDescent="0.25">
      <c r="A42" t="s">
        <v>355</v>
      </c>
      <c r="B42" t="s">
        <v>69</v>
      </c>
      <c r="C42" t="s">
        <v>423</v>
      </c>
    </row>
    <row r="43" spans="1:3" x14ac:dyDescent="0.25">
      <c r="A43" t="s">
        <v>355</v>
      </c>
      <c r="B43" t="s">
        <v>69</v>
      </c>
      <c r="C43" t="s">
        <v>424</v>
      </c>
    </row>
    <row r="44" spans="1:3" x14ac:dyDescent="0.25">
      <c r="A44" t="s">
        <v>355</v>
      </c>
      <c r="B44" t="s">
        <v>69</v>
      </c>
      <c r="C44" t="s">
        <v>425</v>
      </c>
    </row>
    <row r="45" spans="1:3" x14ac:dyDescent="0.25">
      <c r="A45" t="s">
        <v>355</v>
      </c>
      <c r="B45" t="s">
        <v>69</v>
      </c>
      <c r="C45" t="s">
        <v>426</v>
      </c>
    </row>
    <row r="46" spans="1:3" x14ac:dyDescent="0.25">
      <c r="A46" t="s">
        <v>355</v>
      </c>
      <c r="B46" t="s">
        <v>69</v>
      </c>
      <c r="C46" t="s">
        <v>427</v>
      </c>
    </row>
    <row r="47" spans="1:3" x14ac:dyDescent="0.25">
      <c r="A47" t="s">
        <v>355</v>
      </c>
      <c r="B47" t="s">
        <v>69</v>
      </c>
      <c r="C47" t="s">
        <v>428</v>
      </c>
    </row>
    <row r="48" spans="1:3" x14ac:dyDescent="0.25">
      <c r="A48" t="s">
        <v>355</v>
      </c>
      <c r="B48" t="s">
        <v>69</v>
      </c>
      <c r="C48" t="s">
        <v>429</v>
      </c>
    </row>
    <row r="49" spans="1:3" x14ac:dyDescent="0.25">
      <c r="A49" t="s">
        <v>355</v>
      </c>
      <c r="B49" t="s">
        <v>69</v>
      </c>
      <c r="C49" t="s">
        <v>430</v>
      </c>
    </row>
    <row r="50" spans="1:3" x14ac:dyDescent="0.25">
      <c r="A50" t="s">
        <v>355</v>
      </c>
      <c r="B50" t="s">
        <v>69</v>
      </c>
      <c r="C50" t="s">
        <v>431</v>
      </c>
    </row>
    <row r="51" spans="1:3" x14ac:dyDescent="0.25">
      <c r="A51" t="s">
        <v>355</v>
      </c>
      <c r="B51" t="s">
        <v>69</v>
      </c>
      <c r="C51" t="s">
        <v>432</v>
      </c>
    </row>
    <row r="52" spans="1:3" x14ac:dyDescent="0.25">
      <c r="A52" t="s">
        <v>355</v>
      </c>
      <c r="B52" t="s">
        <v>69</v>
      </c>
      <c r="C52" t="s">
        <v>433</v>
      </c>
    </row>
    <row r="53" spans="1:3" x14ac:dyDescent="0.25">
      <c r="A53" t="s">
        <v>355</v>
      </c>
      <c r="B53" t="s">
        <v>69</v>
      </c>
      <c r="C53" t="s">
        <v>434</v>
      </c>
    </row>
    <row r="54" spans="1:3" x14ac:dyDescent="0.25">
      <c r="A54" t="s">
        <v>355</v>
      </c>
      <c r="B54" t="s">
        <v>69</v>
      </c>
      <c r="C54" t="s">
        <v>435</v>
      </c>
    </row>
    <row r="55" spans="1:3" x14ac:dyDescent="0.25">
      <c r="A55" t="s">
        <v>355</v>
      </c>
      <c r="B55" t="s">
        <v>69</v>
      </c>
      <c r="C55" t="s">
        <v>436</v>
      </c>
    </row>
    <row r="56" spans="1:3" x14ac:dyDescent="0.25">
      <c r="A56" t="s">
        <v>355</v>
      </c>
      <c r="B56" t="s">
        <v>69</v>
      </c>
      <c r="C56" t="s">
        <v>437</v>
      </c>
    </row>
    <row r="57" spans="1:3" x14ac:dyDescent="0.25">
      <c r="A57" t="s">
        <v>355</v>
      </c>
      <c r="B57" t="s">
        <v>69</v>
      </c>
      <c r="C57" t="s">
        <v>438</v>
      </c>
    </row>
    <row r="58" spans="1:3" x14ac:dyDescent="0.25">
      <c r="A58" t="s">
        <v>355</v>
      </c>
      <c r="B58" t="s">
        <v>69</v>
      </c>
      <c r="C58" t="s">
        <v>139</v>
      </c>
    </row>
    <row r="59" spans="1:3" x14ac:dyDescent="0.25">
      <c r="A59" t="s">
        <v>355</v>
      </c>
      <c r="B59" t="s">
        <v>69</v>
      </c>
      <c r="C59" t="s">
        <v>439</v>
      </c>
    </row>
    <row r="60" spans="1:3" x14ac:dyDescent="0.25">
      <c r="A60" t="s">
        <v>355</v>
      </c>
      <c r="B60" t="s">
        <v>69</v>
      </c>
      <c r="C60" t="s">
        <v>440</v>
      </c>
    </row>
    <row r="61" spans="1:3" x14ac:dyDescent="0.25">
      <c r="A61" t="s">
        <v>355</v>
      </c>
      <c r="B61" t="s">
        <v>69</v>
      </c>
      <c r="C61" t="s">
        <v>198</v>
      </c>
    </row>
    <row r="62" spans="1:3" x14ac:dyDescent="0.25">
      <c r="A62" t="s">
        <v>355</v>
      </c>
      <c r="B62" t="s">
        <v>69</v>
      </c>
      <c r="C62" t="s">
        <v>140</v>
      </c>
    </row>
    <row r="63" spans="1:3" x14ac:dyDescent="0.25">
      <c r="A63" t="s">
        <v>355</v>
      </c>
      <c r="B63" t="s">
        <v>69</v>
      </c>
      <c r="C63" t="s">
        <v>199</v>
      </c>
    </row>
    <row r="64" spans="1:3" x14ac:dyDescent="0.25">
      <c r="A64" t="s">
        <v>355</v>
      </c>
      <c r="B64" t="s">
        <v>69</v>
      </c>
      <c r="C64" t="s">
        <v>141</v>
      </c>
    </row>
    <row r="65" spans="1:3" x14ac:dyDescent="0.25">
      <c r="A65" t="s">
        <v>355</v>
      </c>
      <c r="B65" t="s">
        <v>69</v>
      </c>
      <c r="C65" t="s">
        <v>255</v>
      </c>
    </row>
    <row r="66" spans="1:3" x14ac:dyDescent="0.25">
      <c r="A66" t="s">
        <v>355</v>
      </c>
      <c r="B66" t="s">
        <v>69</v>
      </c>
      <c r="C66" t="s">
        <v>142</v>
      </c>
    </row>
    <row r="67" spans="1:3" x14ac:dyDescent="0.25">
      <c r="A67" t="s">
        <v>355</v>
      </c>
      <c r="B67" t="s">
        <v>69</v>
      </c>
      <c r="C67" t="s">
        <v>441</v>
      </c>
    </row>
    <row r="68" spans="1:3" x14ac:dyDescent="0.25">
      <c r="A68" t="s">
        <v>355</v>
      </c>
      <c r="B68" t="s">
        <v>69</v>
      </c>
      <c r="C68" t="s">
        <v>143</v>
      </c>
    </row>
    <row r="69" spans="1:3" x14ac:dyDescent="0.25">
      <c r="A69" t="s">
        <v>355</v>
      </c>
      <c r="B69" t="s">
        <v>69</v>
      </c>
      <c r="C69" t="s">
        <v>200</v>
      </c>
    </row>
    <row r="70" spans="1:3" x14ac:dyDescent="0.25">
      <c r="A70" t="s">
        <v>355</v>
      </c>
      <c r="B70" t="s">
        <v>69</v>
      </c>
      <c r="C70" t="s">
        <v>144</v>
      </c>
    </row>
    <row r="71" spans="1:3" x14ac:dyDescent="0.25">
      <c r="A71" t="s">
        <v>355</v>
      </c>
      <c r="B71" t="s">
        <v>69</v>
      </c>
      <c r="C71" t="s">
        <v>201</v>
      </c>
    </row>
    <row r="72" spans="1:3" x14ac:dyDescent="0.25">
      <c r="A72" t="s">
        <v>355</v>
      </c>
      <c r="B72" t="s">
        <v>69</v>
      </c>
      <c r="C72" t="s">
        <v>145</v>
      </c>
    </row>
    <row r="73" spans="1:3" x14ac:dyDescent="0.25">
      <c r="A73" t="s">
        <v>355</v>
      </c>
      <c r="B73" t="s">
        <v>69</v>
      </c>
      <c r="C73" t="s">
        <v>146</v>
      </c>
    </row>
    <row r="74" spans="1:3" x14ac:dyDescent="0.25">
      <c r="A74" t="s">
        <v>355</v>
      </c>
      <c r="B74" t="s">
        <v>69</v>
      </c>
      <c r="C74" t="s">
        <v>202</v>
      </c>
    </row>
    <row r="75" spans="1:3" x14ac:dyDescent="0.25">
      <c r="A75" t="s">
        <v>355</v>
      </c>
      <c r="B75" t="s">
        <v>69</v>
      </c>
      <c r="C75" t="s">
        <v>147</v>
      </c>
    </row>
    <row r="76" spans="1:3" x14ac:dyDescent="0.25">
      <c r="A76" t="s">
        <v>355</v>
      </c>
      <c r="B76" t="s">
        <v>69</v>
      </c>
      <c r="C76" t="s">
        <v>203</v>
      </c>
    </row>
    <row r="77" spans="1:3" x14ac:dyDescent="0.25">
      <c r="A77" t="s">
        <v>355</v>
      </c>
      <c r="B77" t="s">
        <v>69</v>
      </c>
      <c r="C77" t="s">
        <v>148</v>
      </c>
    </row>
    <row r="78" spans="1:3" x14ac:dyDescent="0.25">
      <c r="A78" t="s">
        <v>355</v>
      </c>
      <c r="B78" t="s">
        <v>69</v>
      </c>
      <c r="C78" t="s">
        <v>201</v>
      </c>
    </row>
    <row r="79" spans="1:3" x14ac:dyDescent="0.25">
      <c r="A79" t="s">
        <v>355</v>
      </c>
      <c r="B79" t="s">
        <v>69</v>
      </c>
      <c r="C79" t="s">
        <v>149</v>
      </c>
    </row>
    <row r="80" spans="1:3" x14ac:dyDescent="0.25">
      <c r="A80" t="s">
        <v>355</v>
      </c>
      <c r="B80" t="s">
        <v>69</v>
      </c>
      <c r="C80" t="s">
        <v>150</v>
      </c>
    </row>
    <row r="81" spans="1:3" x14ac:dyDescent="0.25">
      <c r="A81" t="s">
        <v>355</v>
      </c>
      <c r="B81" t="s">
        <v>69</v>
      </c>
      <c r="C81" t="s">
        <v>455</v>
      </c>
    </row>
    <row r="82" spans="1:3" x14ac:dyDescent="0.25">
      <c r="A82" t="s">
        <v>355</v>
      </c>
      <c r="B82" t="s">
        <v>69</v>
      </c>
      <c r="C82" t="s">
        <v>151</v>
      </c>
    </row>
    <row r="83" spans="1:3" x14ac:dyDescent="0.25">
      <c r="A83" t="s">
        <v>355</v>
      </c>
      <c r="B83" t="s">
        <v>69</v>
      </c>
      <c r="C83" t="s">
        <v>152</v>
      </c>
    </row>
    <row r="84" spans="1:3" x14ac:dyDescent="0.25">
      <c r="A84" t="s">
        <v>355</v>
      </c>
      <c r="B84" t="s">
        <v>69</v>
      </c>
      <c r="C84" t="s">
        <v>204</v>
      </c>
    </row>
    <row r="85" spans="1:3" x14ac:dyDescent="0.25">
      <c r="A85" t="s">
        <v>355</v>
      </c>
      <c r="B85" t="s">
        <v>69</v>
      </c>
      <c r="C85" t="s">
        <v>153</v>
      </c>
    </row>
    <row r="86" spans="1:3" x14ac:dyDescent="0.25">
      <c r="A86" t="s">
        <v>355</v>
      </c>
      <c r="B86" t="s">
        <v>69</v>
      </c>
      <c r="C86" t="s">
        <v>442</v>
      </c>
    </row>
    <row r="87" spans="1:3" x14ac:dyDescent="0.25">
      <c r="A87" t="s">
        <v>355</v>
      </c>
      <c r="B87" t="s">
        <v>69</v>
      </c>
      <c r="C87" t="s">
        <v>154</v>
      </c>
    </row>
    <row r="88" spans="1:3" x14ac:dyDescent="0.25">
      <c r="A88" t="s">
        <v>355</v>
      </c>
      <c r="B88" t="s">
        <v>69</v>
      </c>
      <c r="C88" t="s">
        <v>205</v>
      </c>
    </row>
    <row r="89" spans="1:3" x14ac:dyDescent="0.25">
      <c r="A89" t="s">
        <v>355</v>
      </c>
      <c r="B89" t="s">
        <v>69</v>
      </c>
      <c r="C89" t="s">
        <v>155</v>
      </c>
    </row>
    <row r="90" spans="1:3" x14ac:dyDescent="0.25">
      <c r="A90" t="s">
        <v>355</v>
      </c>
      <c r="B90" t="s">
        <v>69</v>
      </c>
      <c r="C90" t="s">
        <v>205</v>
      </c>
    </row>
    <row r="91" spans="1:3" x14ac:dyDescent="0.25">
      <c r="A91" t="s">
        <v>355</v>
      </c>
      <c r="B91" t="s">
        <v>69</v>
      </c>
      <c r="C91" t="s">
        <v>156</v>
      </c>
    </row>
    <row r="92" spans="1:3" x14ac:dyDescent="0.25">
      <c r="A92" t="s">
        <v>355</v>
      </c>
      <c r="B92" t="s">
        <v>69</v>
      </c>
      <c r="C92" t="s">
        <v>206</v>
      </c>
    </row>
    <row r="93" spans="1:3" x14ac:dyDescent="0.25">
      <c r="A93" t="s">
        <v>355</v>
      </c>
      <c r="B93" t="s">
        <v>69</v>
      </c>
      <c r="C93" t="s">
        <v>157</v>
      </c>
    </row>
    <row r="94" spans="1:3" x14ac:dyDescent="0.25">
      <c r="A94" t="s">
        <v>355</v>
      </c>
      <c r="B94" t="s">
        <v>69</v>
      </c>
      <c r="C94" t="s">
        <v>211</v>
      </c>
    </row>
    <row r="95" spans="1:3" x14ac:dyDescent="0.25">
      <c r="A95" t="s">
        <v>355</v>
      </c>
      <c r="B95" t="s">
        <v>69</v>
      </c>
      <c r="C95" t="s">
        <v>158</v>
      </c>
    </row>
    <row r="96" spans="1:3" x14ac:dyDescent="0.25">
      <c r="A96" t="s">
        <v>355</v>
      </c>
      <c r="B96" t="s">
        <v>69</v>
      </c>
      <c r="C96" t="s">
        <v>207</v>
      </c>
    </row>
    <row r="97" spans="1:3" x14ac:dyDescent="0.25">
      <c r="A97" t="s">
        <v>355</v>
      </c>
      <c r="B97" t="s">
        <v>69</v>
      </c>
      <c r="C97" t="s">
        <v>159</v>
      </c>
    </row>
    <row r="98" spans="1:3" x14ac:dyDescent="0.25">
      <c r="A98" t="s">
        <v>355</v>
      </c>
      <c r="B98" t="s">
        <v>69</v>
      </c>
      <c r="C98" t="s">
        <v>160</v>
      </c>
    </row>
    <row r="99" spans="1:3" x14ac:dyDescent="0.25">
      <c r="A99" t="s">
        <v>355</v>
      </c>
      <c r="B99" t="s">
        <v>69</v>
      </c>
      <c r="C99" t="s">
        <v>208</v>
      </c>
    </row>
    <row r="100" spans="1:3" x14ac:dyDescent="0.25">
      <c r="A100" t="s">
        <v>355</v>
      </c>
      <c r="B100" t="s">
        <v>69</v>
      </c>
      <c r="C100" t="s">
        <v>161</v>
      </c>
    </row>
    <row r="101" spans="1:3" x14ac:dyDescent="0.25">
      <c r="A101" t="s">
        <v>355</v>
      </c>
      <c r="B101" t="s">
        <v>69</v>
      </c>
      <c r="C101" t="s">
        <v>209</v>
      </c>
    </row>
    <row r="102" spans="1:3" x14ac:dyDescent="0.25">
      <c r="A102" t="s">
        <v>355</v>
      </c>
      <c r="B102" t="s">
        <v>69</v>
      </c>
      <c r="C102" t="s">
        <v>162</v>
      </c>
    </row>
    <row r="103" spans="1:3" x14ac:dyDescent="0.25">
      <c r="A103" t="s">
        <v>355</v>
      </c>
      <c r="B103" t="s">
        <v>69</v>
      </c>
      <c r="C103" t="s">
        <v>205</v>
      </c>
    </row>
    <row r="104" spans="1:3" x14ac:dyDescent="0.25">
      <c r="A104" t="s">
        <v>355</v>
      </c>
      <c r="B104" t="s">
        <v>69</v>
      </c>
      <c r="C104" t="s">
        <v>163</v>
      </c>
    </row>
    <row r="105" spans="1:3" x14ac:dyDescent="0.25">
      <c r="A105" t="s">
        <v>355</v>
      </c>
      <c r="B105" t="s">
        <v>69</v>
      </c>
      <c r="C105" t="s">
        <v>210</v>
      </c>
    </row>
    <row r="106" spans="1:3" x14ac:dyDescent="0.25">
      <c r="A106" t="s">
        <v>355</v>
      </c>
      <c r="B106" t="s">
        <v>69</v>
      </c>
      <c r="C106" t="s">
        <v>164</v>
      </c>
    </row>
    <row r="107" spans="1:3" x14ac:dyDescent="0.25">
      <c r="A107" t="s">
        <v>355</v>
      </c>
      <c r="B107" t="s">
        <v>69</v>
      </c>
      <c r="C107" t="s">
        <v>206</v>
      </c>
    </row>
    <row r="108" spans="1:3" x14ac:dyDescent="0.25">
      <c r="A108" t="s">
        <v>355</v>
      </c>
      <c r="B108" t="s">
        <v>69</v>
      </c>
      <c r="C108" t="s">
        <v>165</v>
      </c>
    </row>
    <row r="109" spans="1:3" x14ac:dyDescent="0.25">
      <c r="A109" t="s">
        <v>355</v>
      </c>
      <c r="B109" t="s">
        <v>69</v>
      </c>
      <c r="C109" t="s">
        <v>211</v>
      </c>
    </row>
    <row r="110" spans="1:3" x14ac:dyDescent="0.25">
      <c r="A110" t="s">
        <v>355</v>
      </c>
      <c r="B110" t="s">
        <v>69</v>
      </c>
      <c r="C110" t="s">
        <v>166</v>
      </c>
    </row>
    <row r="111" spans="1:3" x14ac:dyDescent="0.25">
      <c r="A111" t="s">
        <v>355</v>
      </c>
      <c r="B111" t="s">
        <v>69</v>
      </c>
      <c r="C111" t="s">
        <v>167</v>
      </c>
    </row>
    <row r="112" spans="1:3" x14ac:dyDescent="0.25">
      <c r="A112" t="s">
        <v>355</v>
      </c>
      <c r="B112" t="s">
        <v>69</v>
      </c>
      <c r="C112" t="s">
        <v>168</v>
      </c>
    </row>
    <row r="113" spans="1:3" x14ac:dyDescent="0.25">
      <c r="A113" t="s">
        <v>355</v>
      </c>
      <c r="B113" t="s">
        <v>69</v>
      </c>
      <c r="C113" t="s">
        <v>169</v>
      </c>
    </row>
    <row r="114" spans="1:3" x14ac:dyDescent="0.25">
      <c r="A114" t="s">
        <v>355</v>
      </c>
      <c r="B114" t="s">
        <v>69</v>
      </c>
      <c r="C114" t="s">
        <v>170</v>
      </c>
    </row>
    <row r="115" spans="1:3" x14ac:dyDescent="0.25">
      <c r="A115" t="s">
        <v>355</v>
      </c>
      <c r="B115" t="s">
        <v>69</v>
      </c>
      <c r="C115" t="s">
        <v>171</v>
      </c>
    </row>
    <row r="116" spans="1:3" x14ac:dyDescent="0.25">
      <c r="A116" t="s">
        <v>355</v>
      </c>
      <c r="B116" t="s">
        <v>69</v>
      </c>
      <c r="C116" t="s">
        <v>172</v>
      </c>
    </row>
    <row r="117" spans="1:3" x14ac:dyDescent="0.25">
      <c r="A117" t="s">
        <v>355</v>
      </c>
      <c r="B117" t="s">
        <v>69</v>
      </c>
      <c r="C117" t="s">
        <v>173</v>
      </c>
    </row>
    <row r="118" spans="1:3" x14ac:dyDescent="0.25">
      <c r="A118" t="s">
        <v>355</v>
      </c>
      <c r="B118" t="s">
        <v>69</v>
      </c>
      <c r="C118" t="s">
        <v>174</v>
      </c>
    </row>
    <row r="119" spans="1:3" x14ac:dyDescent="0.25">
      <c r="A119" t="s">
        <v>355</v>
      </c>
      <c r="B119" t="s">
        <v>69</v>
      </c>
      <c r="C119" t="s">
        <v>175</v>
      </c>
    </row>
    <row r="120" spans="1:3" x14ac:dyDescent="0.25">
      <c r="A120" t="s">
        <v>355</v>
      </c>
      <c r="B120" t="s">
        <v>69</v>
      </c>
      <c r="C120" t="s">
        <v>176</v>
      </c>
    </row>
    <row r="121" spans="1:3" x14ac:dyDescent="0.25">
      <c r="A121" t="s">
        <v>355</v>
      </c>
      <c r="B121" t="s">
        <v>69</v>
      </c>
      <c r="C121" t="s">
        <v>177</v>
      </c>
    </row>
    <row r="122" spans="1:3" x14ac:dyDescent="0.25">
      <c r="A122" t="s">
        <v>355</v>
      </c>
      <c r="B122" t="s">
        <v>69</v>
      </c>
      <c r="C122" t="s">
        <v>178</v>
      </c>
    </row>
    <row r="123" spans="1:3" x14ac:dyDescent="0.25">
      <c r="A123" t="s">
        <v>355</v>
      </c>
      <c r="B123" t="s">
        <v>69</v>
      </c>
      <c r="C123" t="s">
        <v>179</v>
      </c>
    </row>
    <row r="124" spans="1:3" x14ac:dyDescent="0.25">
      <c r="A124" t="s">
        <v>355</v>
      </c>
      <c r="B124" t="s">
        <v>69</v>
      </c>
      <c r="C124" t="s">
        <v>370</v>
      </c>
    </row>
    <row r="125" spans="1:3" x14ac:dyDescent="0.25">
      <c r="A125" t="s">
        <v>355</v>
      </c>
      <c r="B125" t="s">
        <v>69</v>
      </c>
      <c r="C125" t="s">
        <v>443</v>
      </c>
    </row>
    <row r="126" spans="1:3" x14ac:dyDescent="0.25">
      <c r="A126" t="s">
        <v>355</v>
      </c>
      <c r="B126" t="s">
        <v>69</v>
      </c>
      <c r="C126" t="s">
        <v>180</v>
      </c>
    </row>
    <row r="127" spans="1:3" x14ac:dyDescent="0.25">
      <c r="A127" t="s">
        <v>355</v>
      </c>
      <c r="B127" t="s">
        <v>69</v>
      </c>
      <c r="C127" t="s">
        <v>276</v>
      </c>
    </row>
    <row r="128" spans="1:3" x14ac:dyDescent="0.25">
      <c r="A128" t="s">
        <v>355</v>
      </c>
      <c r="B128" t="s">
        <v>69</v>
      </c>
      <c r="C128" t="s">
        <v>277</v>
      </c>
    </row>
    <row r="129" spans="1:3" x14ac:dyDescent="0.25">
      <c r="A129" t="s">
        <v>355</v>
      </c>
      <c r="B129" t="s">
        <v>69</v>
      </c>
      <c r="C129" t="s">
        <v>263</v>
      </c>
    </row>
    <row r="130" spans="1:3" x14ac:dyDescent="0.25">
      <c r="A130" t="s">
        <v>355</v>
      </c>
      <c r="B130" t="s">
        <v>69</v>
      </c>
      <c r="C130" t="s">
        <v>444</v>
      </c>
    </row>
    <row r="131" spans="1:3" x14ac:dyDescent="0.25">
      <c r="A131" t="s">
        <v>355</v>
      </c>
      <c r="B131" t="s">
        <v>69</v>
      </c>
      <c r="C131" t="s">
        <v>264</v>
      </c>
    </row>
    <row r="132" spans="1:3" x14ac:dyDescent="0.25">
      <c r="A132" t="s">
        <v>355</v>
      </c>
      <c r="B132" t="s">
        <v>69</v>
      </c>
      <c r="C132" t="s">
        <v>444</v>
      </c>
    </row>
    <row r="133" spans="1:3" x14ac:dyDescent="0.25">
      <c r="A133" t="s">
        <v>355</v>
      </c>
      <c r="B133" t="s">
        <v>69</v>
      </c>
      <c r="C133" t="s">
        <v>273</v>
      </c>
    </row>
    <row r="134" spans="1:3" x14ac:dyDescent="0.25">
      <c r="A134" t="s">
        <v>355</v>
      </c>
      <c r="B134" t="s">
        <v>69</v>
      </c>
      <c r="C134" t="s">
        <v>445</v>
      </c>
    </row>
    <row r="135" spans="1:3" x14ac:dyDescent="0.25">
      <c r="A135" t="s">
        <v>355</v>
      </c>
      <c r="B135" t="s">
        <v>69</v>
      </c>
      <c r="C135" t="s">
        <v>274</v>
      </c>
    </row>
    <row r="136" spans="1:3" x14ac:dyDescent="0.25">
      <c r="A136" t="s">
        <v>355</v>
      </c>
      <c r="B136" t="s">
        <v>69</v>
      </c>
      <c r="C136" t="s">
        <v>275</v>
      </c>
    </row>
    <row r="137" spans="1:3" x14ac:dyDescent="0.25">
      <c r="A137" t="s">
        <v>355</v>
      </c>
      <c r="B137" t="s">
        <v>69</v>
      </c>
      <c r="C137" t="s">
        <v>203</v>
      </c>
    </row>
    <row r="138" spans="1:3" x14ac:dyDescent="0.25">
      <c r="A138" t="s">
        <v>355</v>
      </c>
      <c r="B138" t="s">
        <v>69</v>
      </c>
      <c r="C138" t="s">
        <v>281</v>
      </c>
    </row>
    <row r="139" spans="1:3" x14ac:dyDescent="0.25">
      <c r="A139" t="s">
        <v>355</v>
      </c>
      <c r="B139" t="s">
        <v>69</v>
      </c>
      <c r="C139" t="s">
        <v>282</v>
      </c>
    </row>
    <row r="140" spans="1:3" x14ac:dyDescent="0.25">
      <c r="A140" t="s">
        <v>355</v>
      </c>
      <c r="B140" t="s">
        <v>69</v>
      </c>
      <c r="C140" t="s">
        <v>265</v>
      </c>
    </row>
    <row r="141" spans="1:3" x14ac:dyDescent="0.25">
      <c r="A141" t="s">
        <v>355</v>
      </c>
      <c r="B141" t="s">
        <v>69</v>
      </c>
      <c r="C141" t="s">
        <v>446</v>
      </c>
    </row>
    <row r="142" spans="1:3" x14ac:dyDescent="0.25">
      <c r="A142" t="s">
        <v>355</v>
      </c>
      <c r="B142" t="s">
        <v>69</v>
      </c>
      <c r="C142" t="s">
        <v>266</v>
      </c>
    </row>
    <row r="143" spans="1:3" x14ac:dyDescent="0.25">
      <c r="A143" t="s">
        <v>355</v>
      </c>
      <c r="B143" t="s">
        <v>69</v>
      </c>
      <c r="C143" t="s">
        <v>446</v>
      </c>
    </row>
    <row r="144" spans="1:3" x14ac:dyDescent="0.25">
      <c r="A144" t="s">
        <v>355</v>
      </c>
      <c r="B144" t="s">
        <v>69</v>
      </c>
      <c r="C144" t="s">
        <v>278</v>
      </c>
    </row>
    <row r="145" spans="1:3" x14ac:dyDescent="0.25">
      <c r="A145" t="s">
        <v>355</v>
      </c>
      <c r="B145" t="s">
        <v>69</v>
      </c>
      <c r="C145" t="s">
        <v>445</v>
      </c>
    </row>
    <row r="146" spans="1:3" x14ac:dyDescent="0.25">
      <c r="A146" t="s">
        <v>355</v>
      </c>
      <c r="B146" t="s">
        <v>69</v>
      </c>
      <c r="C146" t="s">
        <v>279</v>
      </c>
    </row>
    <row r="147" spans="1:3" x14ac:dyDescent="0.25">
      <c r="A147" t="s">
        <v>355</v>
      </c>
      <c r="B147" t="s">
        <v>69</v>
      </c>
      <c r="C147" t="s">
        <v>280</v>
      </c>
    </row>
    <row r="148" spans="1:3" x14ac:dyDescent="0.25">
      <c r="A148" t="s">
        <v>355</v>
      </c>
      <c r="B148" t="s">
        <v>69</v>
      </c>
      <c r="C148" t="s">
        <v>203</v>
      </c>
    </row>
    <row r="149" spans="1:3" x14ac:dyDescent="0.25">
      <c r="A149" t="s">
        <v>355</v>
      </c>
      <c r="B149" t="s">
        <v>69</v>
      </c>
      <c r="C149" t="s">
        <v>286</v>
      </c>
    </row>
    <row r="150" spans="1:3" x14ac:dyDescent="0.25">
      <c r="A150" t="s">
        <v>355</v>
      </c>
      <c r="B150" t="s">
        <v>69</v>
      </c>
      <c r="C150" t="s">
        <v>287</v>
      </c>
    </row>
    <row r="151" spans="1:3" x14ac:dyDescent="0.25">
      <c r="A151" t="s">
        <v>355</v>
      </c>
      <c r="B151" t="s">
        <v>69</v>
      </c>
      <c r="C151" t="s">
        <v>267</v>
      </c>
    </row>
    <row r="152" spans="1:3" x14ac:dyDescent="0.25">
      <c r="A152" t="s">
        <v>355</v>
      </c>
      <c r="B152" t="s">
        <v>69</v>
      </c>
      <c r="C152" t="s">
        <v>447</v>
      </c>
    </row>
    <row r="153" spans="1:3" x14ac:dyDescent="0.25">
      <c r="A153" t="s">
        <v>355</v>
      </c>
      <c r="B153" t="s">
        <v>69</v>
      </c>
      <c r="C153" t="s">
        <v>268</v>
      </c>
    </row>
    <row r="154" spans="1:3" x14ac:dyDescent="0.25">
      <c r="A154" t="s">
        <v>355</v>
      </c>
      <c r="B154" t="s">
        <v>69</v>
      </c>
      <c r="C154" t="s">
        <v>447</v>
      </c>
    </row>
    <row r="155" spans="1:3" x14ac:dyDescent="0.25">
      <c r="A155" t="s">
        <v>355</v>
      </c>
      <c r="B155" t="s">
        <v>69</v>
      </c>
      <c r="C155" t="s">
        <v>283</v>
      </c>
    </row>
    <row r="156" spans="1:3" x14ac:dyDescent="0.25">
      <c r="A156" t="s">
        <v>355</v>
      </c>
      <c r="B156" t="s">
        <v>69</v>
      </c>
      <c r="C156" t="s">
        <v>445</v>
      </c>
    </row>
    <row r="157" spans="1:3" x14ac:dyDescent="0.25">
      <c r="A157" t="s">
        <v>355</v>
      </c>
      <c r="B157" t="s">
        <v>69</v>
      </c>
      <c r="C157" t="s">
        <v>284</v>
      </c>
    </row>
    <row r="158" spans="1:3" x14ac:dyDescent="0.25">
      <c r="A158" t="s">
        <v>355</v>
      </c>
      <c r="B158" t="s">
        <v>69</v>
      </c>
      <c r="C158" t="s">
        <v>285</v>
      </c>
    </row>
    <row r="159" spans="1:3" x14ac:dyDescent="0.25">
      <c r="A159" t="s">
        <v>355</v>
      </c>
      <c r="B159" t="s">
        <v>69</v>
      </c>
      <c r="C159" t="s">
        <v>203</v>
      </c>
    </row>
    <row r="160" spans="1:3" x14ac:dyDescent="0.25">
      <c r="A160" t="s">
        <v>355</v>
      </c>
      <c r="B160" t="s">
        <v>69</v>
      </c>
      <c r="C160" t="s">
        <v>291</v>
      </c>
    </row>
    <row r="161" spans="1:3" x14ac:dyDescent="0.25">
      <c r="A161" t="s">
        <v>355</v>
      </c>
      <c r="B161" t="s">
        <v>69</v>
      </c>
      <c r="C161" t="s">
        <v>292</v>
      </c>
    </row>
    <row r="162" spans="1:3" x14ac:dyDescent="0.25">
      <c r="A162" t="s">
        <v>355</v>
      </c>
      <c r="B162" t="s">
        <v>69</v>
      </c>
      <c r="C162" t="s">
        <v>269</v>
      </c>
    </row>
    <row r="163" spans="1:3" x14ac:dyDescent="0.25">
      <c r="A163" t="s">
        <v>355</v>
      </c>
      <c r="B163" t="s">
        <v>69</v>
      </c>
      <c r="C163" t="s">
        <v>448</v>
      </c>
    </row>
    <row r="164" spans="1:3" x14ac:dyDescent="0.25">
      <c r="A164" t="s">
        <v>355</v>
      </c>
      <c r="B164" t="s">
        <v>69</v>
      </c>
      <c r="C164" t="s">
        <v>270</v>
      </c>
    </row>
    <row r="165" spans="1:3" x14ac:dyDescent="0.25">
      <c r="A165" t="s">
        <v>355</v>
      </c>
      <c r="B165" t="s">
        <v>69</v>
      </c>
      <c r="C165" t="s">
        <v>448</v>
      </c>
    </row>
    <row r="166" spans="1:3" x14ac:dyDescent="0.25">
      <c r="A166" t="s">
        <v>355</v>
      </c>
      <c r="B166" t="s">
        <v>69</v>
      </c>
      <c r="C166" t="s">
        <v>288</v>
      </c>
    </row>
    <row r="167" spans="1:3" x14ac:dyDescent="0.25">
      <c r="A167" t="s">
        <v>355</v>
      </c>
      <c r="B167" t="s">
        <v>69</v>
      </c>
      <c r="C167" t="s">
        <v>445</v>
      </c>
    </row>
    <row r="168" spans="1:3" x14ac:dyDescent="0.25">
      <c r="A168" t="s">
        <v>355</v>
      </c>
      <c r="B168" t="s">
        <v>69</v>
      </c>
      <c r="C168" t="s">
        <v>289</v>
      </c>
    </row>
    <row r="169" spans="1:3" x14ac:dyDescent="0.25">
      <c r="A169" t="s">
        <v>355</v>
      </c>
      <c r="B169" t="s">
        <v>69</v>
      </c>
      <c r="C169" t="s">
        <v>290</v>
      </c>
    </row>
    <row r="170" spans="1:3" x14ac:dyDescent="0.25">
      <c r="A170" t="s">
        <v>355</v>
      </c>
      <c r="B170" t="s">
        <v>69</v>
      </c>
      <c r="C170" t="s">
        <v>203</v>
      </c>
    </row>
    <row r="171" spans="1:3" x14ac:dyDescent="0.25">
      <c r="A171" t="s">
        <v>355</v>
      </c>
      <c r="B171" t="s">
        <v>69</v>
      </c>
      <c r="C171" t="s">
        <v>293</v>
      </c>
    </row>
    <row r="172" spans="1:3" x14ac:dyDescent="0.25">
      <c r="A172" t="s">
        <v>355</v>
      </c>
      <c r="B172" t="s">
        <v>69</v>
      </c>
      <c r="C172" t="s">
        <v>294</v>
      </c>
    </row>
    <row r="173" spans="1:3" x14ac:dyDescent="0.25">
      <c r="A173" t="s">
        <v>355</v>
      </c>
      <c r="B173" t="s">
        <v>69</v>
      </c>
      <c r="C173" t="s">
        <v>271</v>
      </c>
    </row>
    <row r="174" spans="1:3" x14ac:dyDescent="0.25">
      <c r="A174" t="s">
        <v>355</v>
      </c>
      <c r="B174" t="s">
        <v>69</v>
      </c>
      <c r="C174" t="s">
        <v>449</v>
      </c>
    </row>
    <row r="175" spans="1:3" x14ac:dyDescent="0.25">
      <c r="A175" t="s">
        <v>355</v>
      </c>
      <c r="B175" t="s">
        <v>69</v>
      </c>
      <c r="C175" t="s">
        <v>272</v>
      </c>
    </row>
    <row r="176" spans="1:3" x14ac:dyDescent="0.25">
      <c r="A176" t="s">
        <v>355</v>
      </c>
      <c r="B176" t="s">
        <v>69</v>
      </c>
      <c r="C176" t="s">
        <v>449</v>
      </c>
    </row>
    <row r="177" spans="1:3" x14ac:dyDescent="0.25">
      <c r="A177" t="s">
        <v>355</v>
      </c>
      <c r="B177" t="s">
        <v>69</v>
      </c>
      <c r="C177" t="s">
        <v>295</v>
      </c>
    </row>
    <row r="178" spans="1:3" x14ac:dyDescent="0.25">
      <c r="A178" t="s">
        <v>355</v>
      </c>
      <c r="B178" t="s">
        <v>69</v>
      </c>
      <c r="C178" t="s">
        <v>445</v>
      </c>
    </row>
    <row r="179" spans="1:3" x14ac:dyDescent="0.25">
      <c r="A179" t="s">
        <v>355</v>
      </c>
      <c r="B179" t="s">
        <v>69</v>
      </c>
      <c r="C179" t="s">
        <v>296</v>
      </c>
    </row>
    <row r="180" spans="1:3" x14ac:dyDescent="0.25">
      <c r="A180" t="s">
        <v>355</v>
      </c>
      <c r="B180" t="s">
        <v>69</v>
      </c>
      <c r="C180" t="s">
        <v>297</v>
      </c>
    </row>
    <row r="181" spans="1:3" x14ac:dyDescent="0.25">
      <c r="A181" t="s">
        <v>355</v>
      </c>
      <c r="B181" t="s">
        <v>69</v>
      </c>
      <c r="C181" t="s">
        <v>203</v>
      </c>
    </row>
    <row r="182" spans="1:3" x14ac:dyDescent="0.25">
      <c r="A182" t="s">
        <v>355</v>
      </c>
      <c r="B182" t="s">
        <v>69</v>
      </c>
      <c r="C182" t="s">
        <v>299</v>
      </c>
    </row>
    <row r="183" spans="1:3" x14ac:dyDescent="0.25">
      <c r="A183" t="s">
        <v>355</v>
      </c>
      <c r="B183" t="s">
        <v>69</v>
      </c>
      <c r="C183" t="s">
        <v>300</v>
      </c>
    </row>
    <row r="184" spans="1:3" x14ac:dyDescent="0.25">
      <c r="A184" t="s">
        <v>355</v>
      </c>
      <c r="B184" t="s">
        <v>69</v>
      </c>
      <c r="C184" t="s">
        <v>301</v>
      </c>
    </row>
    <row r="185" spans="1:3" x14ac:dyDescent="0.25">
      <c r="A185" t="s">
        <v>355</v>
      </c>
      <c r="B185" t="s">
        <v>69</v>
      </c>
      <c r="C185" t="s">
        <v>450</v>
      </c>
    </row>
    <row r="186" spans="1:3" x14ac:dyDescent="0.25">
      <c r="A186" t="s">
        <v>355</v>
      </c>
      <c r="B186" t="s">
        <v>69</v>
      </c>
      <c r="C186" t="s">
        <v>302</v>
      </c>
    </row>
    <row r="187" spans="1:3" x14ac:dyDescent="0.25">
      <c r="A187" t="s">
        <v>355</v>
      </c>
      <c r="B187" t="s">
        <v>69</v>
      </c>
      <c r="C187" t="s">
        <v>450</v>
      </c>
    </row>
    <row r="188" spans="1:3" x14ac:dyDescent="0.25">
      <c r="A188" t="s">
        <v>355</v>
      </c>
      <c r="B188" t="s">
        <v>69</v>
      </c>
      <c r="C188" t="s">
        <v>303</v>
      </c>
    </row>
    <row r="189" spans="1:3" x14ac:dyDescent="0.25">
      <c r="A189" t="s">
        <v>355</v>
      </c>
      <c r="B189" t="s">
        <v>69</v>
      </c>
      <c r="C189" t="s">
        <v>445</v>
      </c>
    </row>
    <row r="190" spans="1:3" x14ac:dyDescent="0.25">
      <c r="A190" t="s">
        <v>355</v>
      </c>
      <c r="B190" t="s">
        <v>69</v>
      </c>
      <c r="C190" t="s">
        <v>304</v>
      </c>
    </row>
    <row r="191" spans="1:3" x14ac:dyDescent="0.25">
      <c r="A191" t="s">
        <v>355</v>
      </c>
      <c r="B191" t="s">
        <v>69</v>
      </c>
      <c r="C191" t="s">
        <v>305</v>
      </c>
    </row>
    <row r="192" spans="1:3" x14ac:dyDescent="0.25">
      <c r="A192" t="s">
        <v>355</v>
      </c>
      <c r="B192" t="s">
        <v>69</v>
      </c>
      <c r="C192" t="s">
        <v>203</v>
      </c>
    </row>
    <row r="193" spans="1:3" x14ac:dyDescent="0.25">
      <c r="A193" t="s">
        <v>355</v>
      </c>
      <c r="B193" t="s">
        <v>69</v>
      </c>
      <c r="C193" t="s">
        <v>306</v>
      </c>
    </row>
    <row r="194" spans="1:3" x14ac:dyDescent="0.25">
      <c r="A194" t="s">
        <v>355</v>
      </c>
      <c r="B194" t="s">
        <v>69</v>
      </c>
      <c r="C194" t="s">
        <v>307</v>
      </c>
    </row>
    <row r="195" spans="1:3" x14ac:dyDescent="0.25">
      <c r="A195" t="s">
        <v>355</v>
      </c>
      <c r="B195" t="s">
        <v>69</v>
      </c>
      <c r="C195" t="s">
        <v>308</v>
      </c>
    </row>
    <row r="196" spans="1:3" x14ac:dyDescent="0.25">
      <c r="A196" t="s">
        <v>355</v>
      </c>
      <c r="B196" t="s">
        <v>69</v>
      </c>
      <c r="C196" t="s">
        <v>309</v>
      </c>
    </row>
    <row r="197" spans="1:3" x14ac:dyDescent="0.25">
      <c r="A197" t="s">
        <v>355</v>
      </c>
      <c r="B197" t="s">
        <v>69</v>
      </c>
      <c r="C197" t="s">
        <v>310</v>
      </c>
    </row>
    <row r="198" spans="1:3" x14ac:dyDescent="0.25">
      <c r="A198" t="s">
        <v>355</v>
      </c>
      <c r="B198" t="s">
        <v>69</v>
      </c>
      <c r="C198" t="s">
        <v>311</v>
      </c>
    </row>
    <row r="199" spans="1:3" x14ac:dyDescent="0.25">
      <c r="A199" t="s">
        <v>355</v>
      </c>
      <c r="B199" t="s">
        <v>69</v>
      </c>
      <c r="C199" t="s">
        <v>312</v>
      </c>
    </row>
    <row r="200" spans="1:3" x14ac:dyDescent="0.25">
      <c r="A200" t="s">
        <v>355</v>
      </c>
      <c r="B200" t="s">
        <v>69</v>
      </c>
      <c r="C200" t="s">
        <v>313</v>
      </c>
    </row>
    <row r="201" spans="1:3" x14ac:dyDescent="0.25">
      <c r="A201" t="s">
        <v>355</v>
      </c>
      <c r="B201" t="s">
        <v>69</v>
      </c>
      <c r="C201" t="s">
        <v>314</v>
      </c>
    </row>
    <row r="202" spans="1:3" x14ac:dyDescent="0.25">
      <c r="A202" t="s">
        <v>355</v>
      </c>
      <c r="B202" t="s">
        <v>69</v>
      </c>
      <c r="C202" t="s">
        <v>315</v>
      </c>
    </row>
    <row r="203" spans="1:3" x14ac:dyDescent="0.25">
      <c r="A203" t="s">
        <v>355</v>
      </c>
      <c r="B203" t="s">
        <v>69</v>
      </c>
      <c r="C203" t="s">
        <v>316</v>
      </c>
    </row>
    <row r="204" spans="1:3" x14ac:dyDescent="0.25">
      <c r="A204" t="s">
        <v>355</v>
      </c>
      <c r="B204" t="s">
        <v>69</v>
      </c>
      <c r="C204" t="s">
        <v>317</v>
      </c>
    </row>
    <row r="205" spans="1:3" x14ac:dyDescent="0.25">
      <c r="A205" t="s">
        <v>355</v>
      </c>
      <c r="B205" t="s">
        <v>69</v>
      </c>
      <c r="C205" t="s">
        <v>318</v>
      </c>
    </row>
    <row r="206" spans="1:3" x14ac:dyDescent="0.25">
      <c r="A206" t="s">
        <v>355</v>
      </c>
      <c r="B206" t="s">
        <v>69</v>
      </c>
      <c r="C206" t="s">
        <v>319</v>
      </c>
    </row>
    <row r="207" spans="1:3" x14ac:dyDescent="0.25">
      <c r="A207" t="s">
        <v>355</v>
      </c>
      <c r="B207" t="s">
        <v>69</v>
      </c>
      <c r="C207" t="s">
        <v>320</v>
      </c>
    </row>
    <row r="208" spans="1:3" x14ac:dyDescent="0.25">
      <c r="A208" t="s">
        <v>355</v>
      </c>
      <c r="B208" t="s">
        <v>69</v>
      </c>
      <c r="C208" t="s">
        <v>321</v>
      </c>
    </row>
    <row r="209" spans="1:3" x14ac:dyDescent="0.25">
      <c r="A209" t="s">
        <v>355</v>
      </c>
      <c r="B209" t="s">
        <v>69</v>
      </c>
      <c r="C209" t="s">
        <v>322</v>
      </c>
    </row>
    <row r="210" spans="1:3" x14ac:dyDescent="0.25">
      <c r="A210" t="s">
        <v>355</v>
      </c>
      <c r="B210" t="s">
        <v>69</v>
      </c>
      <c r="C210" t="s">
        <v>323</v>
      </c>
    </row>
    <row r="211" spans="1:3" x14ac:dyDescent="0.25">
      <c r="A211" t="s">
        <v>355</v>
      </c>
      <c r="B211" t="s">
        <v>69</v>
      </c>
      <c r="C211" t="s">
        <v>324</v>
      </c>
    </row>
    <row r="212" spans="1:3" x14ac:dyDescent="0.25">
      <c r="A212" t="s">
        <v>355</v>
      </c>
      <c r="B212" t="s">
        <v>69</v>
      </c>
      <c r="C212" t="s">
        <v>325</v>
      </c>
    </row>
    <row r="213" spans="1:3" x14ac:dyDescent="0.25">
      <c r="A213" t="s">
        <v>355</v>
      </c>
      <c r="B213" t="s">
        <v>69</v>
      </c>
      <c r="C213" t="s">
        <v>326</v>
      </c>
    </row>
    <row r="214" spans="1:3" x14ac:dyDescent="0.25">
      <c r="A214" t="s">
        <v>355</v>
      </c>
      <c r="B214" t="s">
        <v>69</v>
      </c>
      <c r="C214" t="s">
        <v>327</v>
      </c>
    </row>
    <row r="215" spans="1:3" x14ac:dyDescent="0.25">
      <c r="A215" t="s">
        <v>355</v>
      </c>
      <c r="B215" t="s">
        <v>69</v>
      </c>
      <c r="C215" t="s">
        <v>328</v>
      </c>
    </row>
    <row r="216" spans="1:3" x14ac:dyDescent="0.25">
      <c r="A216" t="s">
        <v>355</v>
      </c>
      <c r="B216" t="s">
        <v>69</v>
      </c>
      <c r="C216" t="s">
        <v>329</v>
      </c>
    </row>
    <row r="217" spans="1:3" x14ac:dyDescent="0.25">
      <c r="A217" t="s">
        <v>355</v>
      </c>
      <c r="B217" t="s">
        <v>69</v>
      </c>
      <c r="C217" t="s">
        <v>330</v>
      </c>
    </row>
    <row r="218" spans="1:3" x14ac:dyDescent="0.25">
      <c r="A218" t="s">
        <v>355</v>
      </c>
      <c r="B218" t="s">
        <v>69</v>
      </c>
      <c r="C218" t="s">
        <v>331</v>
      </c>
    </row>
    <row r="219" spans="1:3" x14ac:dyDescent="0.25">
      <c r="A219" t="s">
        <v>355</v>
      </c>
      <c r="B219" t="s">
        <v>69</v>
      </c>
      <c r="C219" t="s">
        <v>332</v>
      </c>
    </row>
    <row r="220" spans="1:3" x14ac:dyDescent="0.25">
      <c r="A220" t="s">
        <v>355</v>
      </c>
      <c r="B220" t="s">
        <v>69</v>
      </c>
      <c r="C220" t="s">
        <v>333</v>
      </c>
    </row>
    <row r="221" spans="1:3" x14ac:dyDescent="0.25">
      <c r="A221" t="s">
        <v>355</v>
      </c>
      <c r="B221" t="s">
        <v>69</v>
      </c>
      <c r="C221" t="s">
        <v>334</v>
      </c>
    </row>
    <row r="222" spans="1:3" x14ac:dyDescent="0.25">
      <c r="A222" t="s">
        <v>355</v>
      </c>
      <c r="B222" t="s">
        <v>69</v>
      </c>
      <c r="C222" t="s">
        <v>335</v>
      </c>
    </row>
    <row r="223" spans="1:3" x14ac:dyDescent="0.25">
      <c r="A223" t="s">
        <v>355</v>
      </c>
      <c r="B223" t="s">
        <v>69</v>
      </c>
      <c r="C223" t="s">
        <v>336</v>
      </c>
    </row>
    <row r="224" spans="1:3" x14ac:dyDescent="0.25">
      <c r="A224" t="s">
        <v>355</v>
      </c>
      <c r="B224" t="s">
        <v>69</v>
      </c>
      <c r="C224" t="s">
        <v>337</v>
      </c>
    </row>
    <row r="225" spans="1:3" x14ac:dyDescent="0.25">
      <c r="A225" t="s">
        <v>355</v>
      </c>
      <c r="B225" t="s">
        <v>69</v>
      </c>
      <c r="C225" t="s">
        <v>338</v>
      </c>
    </row>
    <row r="226" spans="1:3" x14ac:dyDescent="0.25">
      <c r="A226" t="s">
        <v>355</v>
      </c>
      <c r="B226" t="s">
        <v>69</v>
      </c>
      <c r="C226" t="s">
        <v>339</v>
      </c>
    </row>
    <row r="227" spans="1:3" x14ac:dyDescent="0.25">
      <c r="A227" t="s">
        <v>355</v>
      </c>
      <c r="B227" t="s">
        <v>69</v>
      </c>
      <c r="C227" t="s">
        <v>340</v>
      </c>
    </row>
    <row r="228" spans="1:3" x14ac:dyDescent="0.25">
      <c r="A228" t="s">
        <v>355</v>
      </c>
      <c r="B228" t="s">
        <v>69</v>
      </c>
      <c r="C228" t="s">
        <v>341</v>
      </c>
    </row>
    <row r="229" spans="1:3" x14ac:dyDescent="0.25">
      <c r="A229" t="s">
        <v>355</v>
      </c>
      <c r="B229" t="s">
        <v>69</v>
      </c>
      <c r="C229" t="s">
        <v>342</v>
      </c>
    </row>
    <row r="230" spans="1:3" x14ac:dyDescent="0.25">
      <c r="A230" t="s">
        <v>355</v>
      </c>
      <c r="B230" t="s">
        <v>69</v>
      </c>
      <c r="C230" t="s">
        <v>343</v>
      </c>
    </row>
    <row r="231" spans="1:3" x14ac:dyDescent="0.25">
      <c r="A231" t="s">
        <v>355</v>
      </c>
      <c r="B231" t="s">
        <v>69</v>
      </c>
      <c r="C231" t="s">
        <v>344</v>
      </c>
    </row>
    <row r="232" spans="1:3" x14ac:dyDescent="0.25">
      <c r="A232" t="s">
        <v>355</v>
      </c>
      <c r="B232" t="s">
        <v>69</v>
      </c>
      <c r="C232" t="s">
        <v>345</v>
      </c>
    </row>
    <row r="233" spans="1:3" x14ac:dyDescent="0.25">
      <c r="A233" t="s">
        <v>355</v>
      </c>
      <c r="B233" t="s">
        <v>69</v>
      </c>
      <c r="C233" t="s">
        <v>346</v>
      </c>
    </row>
    <row r="234" spans="1:3" x14ac:dyDescent="0.25">
      <c r="A234" t="s">
        <v>355</v>
      </c>
      <c r="B234" t="s">
        <v>69</v>
      </c>
      <c r="C234" t="s">
        <v>347</v>
      </c>
    </row>
    <row r="235" spans="1:3" x14ac:dyDescent="0.25">
      <c r="A235" t="s">
        <v>355</v>
      </c>
      <c r="B235" s="41" t="s">
        <v>451</v>
      </c>
      <c r="C235" s="41" t="s">
        <v>452</v>
      </c>
    </row>
    <row r="236" spans="1:3" x14ac:dyDescent="0.25">
      <c r="A236" t="s">
        <v>355</v>
      </c>
      <c r="B236" t="s">
        <v>69</v>
      </c>
      <c r="C236" t="s">
        <v>227</v>
      </c>
    </row>
    <row r="237" spans="1:3" x14ac:dyDescent="0.25">
      <c r="A237" t="s">
        <v>355</v>
      </c>
      <c r="B237" t="s">
        <v>69</v>
      </c>
      <c r="C237" t="s">
        <v>228</v>
      </c>
    </row>
    <row r="238" spans="1:3" x14ac:dyDescent="0.25">
      <c r="A238" t="s">
        <v>355</v>
      </c>
      <c r="B238" t="s">
        <v>69</v>
      </c>
      <c r="C238" t="s">
        <v>229</v>
      </c>
    </row>
    <row r="239" spans="1:3" x14ac:dyDescent="0.25">
      <c r="A239" t="s">
        <v>355</v>
      </c>
      <c r="B239" t="s">
        <v>69</v>
      </c>
      <c r="C239" t="s">
        <v>230</v>
      </c>
    </row>
    <row r="240" spans="1:3" x14ac:dyDescent="0.25">
      <c r="A240" t="s">
        <v>355</v>
      </c>
      <c r="B240" s="41" t="s">
        <v>451</v>
      </c>
      <c r="C240" s="41" t="s">
        <v>452</v>
      </c>
    </row>
    <row r="241" spans="1:3" x14ac:dyDescent="0.25">
      <c r="A241" t="s">
        <v>355</v>
      </c>
      <c r="B241" t="s">
        <v>69</v>
      </c>
      <c r="C241" t="s">
        <v>231</v>
      </c>
    </row>
    <row r="242" spans="1:3" x14ac:dyDescent="0.25">
      <c r="A242" t="s">
        <v>355</v>
      </c>
      <c r="B242" t="s">
        <v>69</v>
      </c>
      <c r="C242" t="s">
        <v>232</v>
      </c>
    </row>
    <row r="243" spans="1:3" x14ac:dyDescent="0.25">
      <c r="A243" t="s">
        <v>355</v>
      </c>
      <c r="B243" t="s">
        <v>69</v>
      </c>
      <c r="C243" t="s">
        <v>233</v>
      </c>
    </row>
    <row r="244" spans="1:3" x14ac:dyDescent="0.25">
      <c r="A244" t="s">
        <v>355</v>
      </c>
      <c r="B244" t="s">
        <v>69</v>
      </c>
      <c r="C244" t="s">
        <v>234</v>
      </c>
    </row>
    <row r="245" spans="1:3" x14ac:dyDescent="0.25">
      <c r="A245" t="s">
        <v>355</v>
      </c>
      <c r="B245" t="s">
        <v>69</v>
      </c>
      <c r="C245" t="s">
        <v>235</v>
      </c>
    </row>
    <row r="246" spans="1:3" x14ac:dyDescent="0.25">
      <c r="A246" t="s">
        <v>355</v>
      </c>
      <c r="B246" t="s">
        <v>69</v>
      </c>
      <c r="C246" t="s">
        <v>236</v>
      </c>
    </row>
    <row r="247" spans="1:3" x14ac:dyDescent="0.25">
      <c r="A247" t="s">
        <v>355</v>
      </c>
      <c r="B247" s="41" t="s">
        <v>451</v>
      </c>
      <c r="C247" s="41" t="s">
        <v>453</v>
      </c>
    </row>
    <row r="248" spans="1:3" x14ac:dyDescent="0.25">
      <c r="A248" t="s">
        <v>355</v>
      </c>
      <c r="B248" s="41" t="s">
        <v>451</v>
      </c>
      <c r="C248" s="41" t="s">
        <v>452</v>
      </c>
    </row>
    <row r="249" spans="1:3" x14ac:dyDescent="0.25">
      <c r="A249" t="s">
        <v>355</v>
      </c>
      <c r="B249" t="s">
        <v>69</v>
      </c>
      <c r="C249" t="s">
        <v>237</v>
      </c>
    </row>
    <row r="250" spans="1:3" x14ac:dyDescent="0.25">
      <c r="A250" t="s">
        <v>355</v>
      </c>
      <c r="B250" t="s">
        <v>69</v>
      </c>
      <c r="C250" t="s">
        <v>238</v>
      </c>
    </row>
    <row r="251" spans="1:3" x14ac:dyDescent="0.25">
      <c r="A251" t="s">
        <v>355</v>
      </c>
      <c r="B251" t="s">
        <v>69</v>
      </c>
      <c r="C251" t="s">
        <v>239</v>
      </c>
    </row>
    <row r="252" spans="1:3" x14ac:dyDescent="0.25">
      <c r="A252" t="s">
        <v>355</v>
      </c>
      <c r="B252" t="s">
        <v>69</v>
      </c>
      <c r="C252" t="s">
        <v>240</v>
      </c>
    </row>
    <row r="253" spans="1:3" x14ac:dyDescent="0.25">
      <c r="A253" t="s">
        <v>355</v>
      </c>
      <c r="B253" t="s">
        <v>69</v>
      </c>
      <c r="C253" t="s">
        <v>241</v>
      </c>
    </row>
    <row r="254" spans="1:3" x14ac:dyDescent="0.25">
      <c r="A254" t="s">
        <v>355</v>
      </c>
      <c r="B254" t="s">
        <v>69</v>
      </c>
      <c r="C254" t="s">
        <v>242</v>
      </c>
    </row>
    <row r="255" spans="1:3" x14ac:dyDescent="0.25">
      <c r="A255" t="s">
        <v>355</v>
      </c>
      <c r="B255" t="s">
        <v>69</v>
      </c>
      <c r="C255" t="s">
        <v>363</v>
      </c>
    </row>
    <row r="256" spans="1:3" x14ac:dyDescent="0.25">
      <c r="A256" t="s">
        <v>355</v>
      </c>
      <c r="B256" t="s">
        <v>69</v>
      </c>
      <c r="C256" t="s">
        <v>364</v>
      </c>
    </row>
    <row r="257" spans="1:3" x14ac:dyDescent="0.25">
      <c r="A257" t="s">
        <v>355</v>
      </c>
      <c r="B257" t="s">
        <v>69</v>
      </c>
      <c r="C257" t="s">
        <v>212</v>
      </c>
    </row>
    <row r="258" spans="1:3" x14ac:dyDescent="0.25">
      <c r="A258" t="s">
        <v>355</v>
      </c>
      <c r="B258" t="s">
        <v>69</v>
      </c>
      <c r="C258" t="s">
        <v>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About</vt:lpstr>
      <vt:lpstr>Help</vt:lpstr>
      <vt:lpstr>Sample Chart Definitions</vt:lpstr>
      <vt:lpstr>Sample Data</vt:lpstr>
      <vt:lpstr>_ChartTemplates_</vt:lpstr>
      <vt:lpstr>_SeriesTemplates_</vt:lpstr>
      <vt:lpstr>_PointTemplates_</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cp:lastPrinted>2025-02-20T20:16:13Z</cp:lastPrinted>
  <dcterms:created xsi:type="dcterms:W3CDTF">2025-02-19T20:23:05Z</dcterms:created>
  <dcterms:modified xsi:type="dcterms:W3CDTF">2025-02-26T03:44:02Z</dcterms:modified>
</cp:coreProperties>
</file>